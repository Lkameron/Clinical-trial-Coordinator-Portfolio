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kameron/Downloads/"/>
    </mc:Choice>
  </mc:AlternateContent>
  <xr:revisionPtr revIDLastSave="0" documentId="8_{63C5B775-D84A-B64C-BAA4-C7B63285943B}" xr6:coauthVersionLast="47" xr6:coauthVersionMax="47" xr10:uidLastSave="{00000000-0000-0000-0000-000000000000}"/>
  <bookViews>
    <workbookView xWindow="4340" yWindow="500" windowWidth="24460" windowHeight="16360" tabRatio="500" activeTab="1" xr2:uid="{00000000-000D-0000-FFFF-FFFF00000000}"/>
  </bookViews>
  <sheets>
    <sheet name="About" sheetId="1" r:id="rId1"/>
    <sheet name="Dashboard" sheetId="2" r:id="rId2"/>
    <sheet name="Settings" sheetId="3" r:id="rId3"/>
    <sheet name="Sites" sheetId="4" r:id="rId4"/>
    <sheet name="Gantt" sheetId="5" r:id="rId5"/>
    <sheet name="Documents" sheetId="6" r:id="rId6"/>
    <sheet name="Payments" sheetId="7" r:id="rId7"/>
    <sheet name="Contact Log" sheetId="8" r:id="rId8"/>
    <sheet name="Change Log" sheetId="9" r:id="rId9"/>
  </sheets>
  <definedNames>
    <definedName name="_xlnm._FilterDatabase" localSheetId="7" hidden="1">'Contact Log'!$A$1:$J$11</definedName>
    <definedName name="_xlnm._FilterDatabase" localSheetId="5" hidden="1">Documents!$A$1:$R$51</definedName>
    <definedName name="_xlnm._FilterDatabase" localSheetId="6" hidden="1">Payments!$A$1:$J$16</definedName>
    <definedName name="_xlnm._FilterDatabase" localSheetId="3" hidden="1">Sites!$A$1:$N$6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1" i="8" l="1"/>
  <c r="J10" i="8"/>
  <c r="J9" i="8"/>
  <c r="J8" i="8"/>
  <c r="J7" i="8"/>
  <c r="J6" i="8"/>
  <c r="J5" i="8"/>
  <c r="J4" i="8"/>
  <c r="J3" i="8"/>
  <c r="J2" i="8"/>
  <c r="J16" i="7"/>
  <c r="I16" i="7"/>
  <c r="J15" i="7"/>
  <c r="I15" i="7"/>
  <c r="J14" i="7"/>
  <c r="I14" i="7"/>
  <c r="J13" i="7"/>
  <c r="I13" i="7"/>
  <c r="J12" i="7"/>
  <c r="I12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4" i="7"/>
  <c r="I4" i="7"/>
  <c r="J3" i="7"/>
  <c r="I3" i="7"/>
  <c r="J2" i="7"/>
  <c r="I2" i="7"/>
  <c r="R51" i="6"/>
  <c r="N51" i="6"/>
  <c r="O51" i="6" s="1"/>
  <c r="J51" i="6"/>
  <c r="I51" i="6"/>
  <c r="R50" i="6"/>
  <c r="O50" i="6"/>
  <c r="N50" i="6"/>
  <c r="J50" i="6"/>
  <c r="I50" i="6"/>
  <c r="R49" i="6"/>
  <c r="N49" i="6"/>
  <c r="O49" i="6" s="1"/>
  <c r="J49" i="6"/>
  <c r="I49" i="6"/>
  <c r="R48" i="6"/>
  <c r="N48" i="6"/>
  <c r="O48" i="6" s="1"/>
  <c r="J48" i="6"/>
  <c r="I48" i="6"/>
  <c r="R47" i="6"/>
  <c r="O47" i="6"/>
  <c r="N47" i="6"/>
  <c r="J47" i="6"/>
  <c r="I47" i="6"/>
  <c r="R46" i="6"/>
  <c r="N46" i="6"/>
  <c r="O46" i="6" s="1"/>
  <c r="J46" i="6"/>
  <c r="I46" i="6"/>
  <c r="R45" i="6"/>
  <c r="N45" i="6"/>
  <c r="O45" i="6" s="1"/>
  <c r="J45" i="6"/>
  <c r="I45" i="6"/>
  <c r="R44" i="6"/>
  <c r="O44" i="6"/>
  <c r="N44" i="6"/>
  <c r="J44" i="6"/>
  <c r="I44" i="6"/>
  <c r="R43" i="6"/>
  <c r="O43" i="6"/>
  <c r="N43" i="6"/>
  <c r="J43" i="6"/>
  <c r="I43" i="6"/>
  <c r="R42" i="6"/>
  <c r="N42" i="6"/>
  <c r="O42" i="6" s="1"/>
  <c r="J42" i="6"/>
  <c r="I42" i="6"/>
  <c r="R41" i="6"/>
  <c r="N41" i="6"/>
  <c r="O41" i="6" s="1"/>
  <c r="J41" i="6"/>
  <c r="I41" i="6"/>
  <c r="R40" i="6"/>
  <c r="O40" i="6"/>
  <c r="N40" i="6"/>
  <c r="J40" i="6"/>
  <c r="I40" i="6"/>
  <c r="R39" i="6"/>
  <c r="O39" i="6"/>
  <c r="N39" i="6"/>
  <c r="J39" i="6"/>
  <c r="I39" i="6"/>
  <c r="R38" i="6"/>
  <c r="N38" i="6"/>
  <c r="O38" i="6" s="1"/>
  <c r="J38" i="6"/>
  <c r="I38" i="6"/>
  <c r="R37" i="6"/>
  <c r="N37" i="6"/>
  <c r="O37" i="6" s="1"/>
  <c r="J37" i="6"/>
  <c r="I37" i="6"/>
  <c r="R36" i="6"/>
  <c r="O36" i="6"/>
  <c r="N36" i="6"/>
  <c r="J36" i="6"/>
  <c r="I36" i="6"/>
  <c r="R35" i="6"/>
  <c r="O35" i="6"/>
  <c r="N35" i="6"/>
  <c r="J35" i="6"/>
  <c r="I35" i="6"/>
  <c r="R34" i="6"/>
  <c r="N34" i="6"/>
  <c r="O34" i="6" s="1"/>
  <c r="J34" i="6"/>
  <c r="I34" i="6"/>
  <c r="R33" i="6"/>
  <c r="O33" i="6"/>
  <c r="N33" i="6"/>
  <c r="J33" i="6"/>
  <c r="I33" i="6"/>
  <c r="R32" i="6"/>
  <c r="O32" i="6"/>
  <c r="N32" i="6"/>
  <c r="J32" i="6"/>
  <c r="I32" i="6"/>
  <c r="R31" i="6"/>
  <c r="O31" i="6"/>
  <c r="N31" i="6"/>
  <c r="J31" i="6"/>
  <c r="I31" i="6"/>
  <c r="R30" i="6"/>
  <c r="N30" i="6"/>
  <c r="O30" i="6" s="1"/>
  <c r="J30" i="6"/>
  <c r="I30" i="6"/>
  <c r="R29" i="6"/>
  <c r="O29" i="6"/>
  <c r="N29" i="6"/>
  <c r="J29" i="6"/>
  <c r="I29" i="6"/>
  <c r="R28" i="6"/>
  <c r="O28" i="6"/>
  <c r="N28" i="6"/>
  <c r="J28" i="6"/>
  <c r="I28" i="6"/>
  <c r="R27" i="6"/>
  <c r="O27" i="6"/>
  <c r="N27" i="6"/>
  <c r="J27" i="6"/>
  <c r="I27" i="6"/>
  <c r="R26" i="6"/>
  <c r="N26" i="6"/>
  <c r="O26" i="6" s="1"/>
  <c r="J26" i="6"/>
  <c r="I26" i="6"/>
  <c r="R25" i="6"/>
  <c r="O25" i="6"/>
  <c r="N25" i="6"/>
  <c r="J25" i="6"/>
  <c r="I25" i="6"/>
  <c r="R24" i="6"/>
  <c r="O24" i="6"/>
  <c r="N24" i="6"/>
  <c r="J24" i="6"/>
  <c r="I24" i="6"/>
  <c r="R23" i="6"/>
  <c r="O23" i="6"/>
  <c r="N23" i="6"/>
  <c r="J23" i="6"/>
  <c r="I23" i="6"/>
  <c r="R22" i="6"/>
  <c r="N22" i="6"/>
  <c r="O22" i="6" s="1"/>
  <c r="J22" i="6"/>
  <c r="I22" i="6"/>
  <c r="R21" i="6"/>
  <c r="O21" i="6"/>
  <c r="N21" i="6"/>
  <c r="J21" i="6"/>
  <c r="I21" i="6"/>
  <c r="R20" i="6"/>
  <c r="O20" i="6"/>
  <c r="N20" i="6"/>
  <c r="J20" i="6"/>
  <c r="I20" i="6"/>
  <c r="R19" i="6"/>
  <c r="O19" i="6"/>
  <c r="N19" i="6"/>
  <c r="J19" i="6"/>
  <c r="I19" i="6"/>
  <c r="R18" i="6"/>
  <c r="N18" i="6"/>
  <c r="O18" i="6" s="1"/>
  <c r="J18" i="6"/>
  <c r="I18" i="6"/>
  <c r="R17" i="6"/>
  <c r="O17" i="6"/>
  <c r="N17" i="6"/>
  <c r="J17" i="6"/>
  <c r="I17" i="6"/>
  <c r="R16" i="6"/>
  <c r="O16" i="6"/>
  <c r="N16" i="6"/>
  <c r="J16" i="6"/>
  <c r="I16" i="6"/>
  <c r="R15" i="6"/>
  <c r="O15" i="6"/>
  <c r="N15" i="6"/>
  <c r="J15" i="6"/>
  <c r="I15" i="6"/>
  <c r="R14" i="6"/>
  <c r="N14" i="6"/>
  <c r="O14" i="6" s="1"/>
  <c r="J14" i="6"/>
  <c r="I14" i="6"/>
  <c r="R13" i="6"/>
  <c r="O13" i="6"/>
  <c r="N13" i="6"/>
  <c r="J13" i="6"/>
  <c r="I13" i="6"/>
  <c r="R12" i="6"/>
  <c r="O12" i="6"/>
  <c r="N12" i="6"/>
  <c r="J12" i="6"/>
  <c r="I12" i="6"/>
  <c r="R11" i="6"/>
  <c r="O11" i="6"/>
  <c r="N11" i="6"/>
  <c r="J11" i="6"/>
  <c r="I11" i="6"/>
  <c r="R10" i="6"/>
  <c r="N10" i="6"/>
  <c r="O10" i="6" s="1"/>
  <c r="J10" i="6"/>
  <c r="I10" i="6"/>
  <c r="R9" i="6"/>
  <c r="O9" i="6"/>
  <c r="N9" i="6"/>
  <c r="J9" i="6"/>
  <c r="I9" i="6"/>
  <c r="R8" i="6"/>
  <c r="O8" i="6"/>
  <c r="N8" i="6"/>
  <c r="J8" i="6"/>
  <c r="I8" i="6"/>
  <c r="R7" i="6"/>
  <c r="O7" i="6"/>
  <c r="N7" i="6"/>
  <c r="J7" i="6"/>
  <c r="I7" i="6"/>
  <c r="R6" i="6"/>
  <c r="N6" i="6"/>
  <c r="O6" i="6" s="1"/>
  <c r="J6" i="6"/>
  <c r="I6" i="6"/>
  <c r="R5" i="6"/>
  <c r="O5" i="6"/>
  <c r="N5" i="6"/>
  <c r="J5" i="6"/>
  <c r="I5" i="6"/>
  <c r="R4" i="6"/>
  <c r="O4" i="6"/>
  <c r="N4" i="6"/>
  <c r="J4" i="6"/>
  <c r="I4" i="6"/>
  <c r="R3" i="6"/>
  <c r="O3" i="6"/>
  <c r="N3" i="6"/>
  <c r="J3" i="6"/>
  <c r="I3" i="6"/>
  <c r="R2" i="6"/>
  <c r="N2" i="6"/>
  <c r="O2" i="6" s="1"/>
  <c r="J2" i="6"/>
  <c r="I2" i="6"/>
  <c r="G27" i="5"/>
  <c r="H27" i="5" s="1"/>
  <c r="F27" i="5"/>
  <c r="J27" i="5" s="1"/>
  <c r="D27" i="5"/>
  <c r="C27" i="5" s="1"/>
  <c r="I27" i="5" s="1"/>
  <c r="J26" i="5"/>
  <c r="I26" i="5"/>
  <c r="G26" i="5"/>
  <c r="H26" i="5" s="1"/>
  <c r="J25" i="5"/>
  <c r="I25" i="5"/>
  <c r="G25" i="5"/>
  <c r="H25" i="5" s="1"/>
  <c r="J24" i="5"/>
  <c r="I24" i="5"/>
  <c r="G24" i="5"/>
  <c r="H24" i="5" s="1"/>
  <c r="J23" i="5"/>
  <c r="I23" i="5"/>
  <c r="H23" i="5"/>
  <c r="G23" i="5"/>
  <c r="G22" i="5"/>
  <c r="F22" i="5"/>
  <c r="J22" i="5" s="1"/>
  <c r="D22" i="5"/>
  <c r="C22" i="5" s="1"/>
  <c r="I22" i="5" s="1"/>
  <c r="J21" i="5"/>
  <c r="I21" i="5"/>
  <c r="G21" i="5"/>
  <c r="H21" i="5" s="1"/>
  <c r="J20" i="5"/>
  <c r="I20" i="5"/>
  <c r="G20" i="5"/>
  <c r="H20" i="5" s="1"/>
  <c r="J19" i="5"/>
  <c r="I19" i="5"/>
  <c r="G19" i="5"/>
  <c r="H19" i="5" s="1"/>
  <c r="J18" i="5"/>
  <c r="I18" i="5"/>
  <c r="H18" i="5"/>
  <c r="G18" i="5"/>
  <c r="F17" i="5"/>
  <c r="J17" i="5" s="1"/>
  <c r="D17" i="5"/>
  <c r="C17" i="5" s="1"/>
  <c r="I17" i="5" s="1"/>
  <c r="J16" i="5"/>
  <c r="I16" i="5"/>
  <c r="H16" i="5"/>
  <c r="G16" i="5"/>
  <c r="J15" i="5"/>
  <c r="I15" i="5"/>
  <c r="H15" i="5"/>
  <c r="G15" i="5"/>
  <c r="J14" i="5"/>
  <c r="I14" i="5"/>
  <c r="H14" i="5"/>
  <c r="G14" i="5"/>
  <c r="J13" i="5"/>
  <c r="I13" i="5"/>
  <c r="H13" i="5"/>
  <c r="G13" i="5"/>
  <c r="I12" i="5"/>
  <c r="F12" i="5"/>
  <c r="H12" i="5" s="1"/>
  <c r="D12" i="5"/>
  <c r="C12" i="5" s="1"/>
  <c r="J11" i="5"/>
  <c r="I11" i="5"/>
  <c r="H11" i="5"/>
  <c r="G11" i="5"/>
  <c r="J10" i="5"/>
  <c r="I10" i="5"/>
  <c r="H10" i="5"/>
  <c r="G10" i="5"/>
  <c r="J9" i="5"/>
  <c r="I9" i="5"/>
  <c r="H9" i="5"/>
  <c r="G9" i="5"/>
  <c r="J8" i="5"/>
  <c r="I8" i="5"/>
  <c r="H8" i="5"/>
  <c r="G8" i="5"/>
  <c r="I7" i="5"/>
  <c r="H7" i="5"/>
  <c r="G7" i="5"/>
  <c r="F7" i="5"/>
  <c r="J7" i="5" s="1"/>
  <c r="D7" i="5"/>
  <c r="C7" i="5"/>
  <c r="J6" i="5"/>
  <c r="I6" i="5"/>
  <c r="H6" i="5"/>
  <c r="G6" i="5"/>
  <c r="J5" i="5"/>
  <c r="I5" i="5"/>
  <c r="H5" i="5"/>
  <c r="G5" i="5"/>
  <c r="J4" i="5"/>
  <c r="I4" i="5"/>
  <c r="H4" i="5"/>
  <c r="G4" i="5"/>
  <c r="J3" i="5"/>
  <c r="I3" i="5"/>
  <c r="H3" i="5"/>
  <c r="G3" i="5"/>
  <c r="L2" i="5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AU2" i="5" s="1"/>
  <c r="N6" i="4"/>
  <c r="M6" i="4"/>
  <c r="L6" i="4"/>
  <c r="J6" i="4"/>
  <c r="I6" i="4"/>
  <c r="K6" i="4" s="1"/>
  <c r="B30" i="2" s="1"/>
  <c r="H6" i="4"/>
  <c r="N5" i="4"/>
  <c r="M5" i="4"/>
  <c r="L5" i="4"/>
  <c r="J5" i="4"/>
  <c r="I5" i="4"/>
  <c r="K5" i="4" s="1"/>
  <c r="B29" i="2" s="1"/>
  <c r="H5" i="4"/>
  <c r="N4" i="4"/>
  <c r="M4" i="4"/>
  <c r="L4" i="4"/>
  <c r="J4" i="4"/>
  <c r="K4" i="4" s="1"/>
  <c r="B28" i="2" s="1"/>
  <c r="I4" i="4"/>
  <c r="H4" i="4"/>
  <c r="N3" i="4"/>
  <c r="M3" i="4"/>
  <c r="C27" i="2" s="1"/>
  <c r="L3" i="4"/>
  <c r="J3" i="4"/>
  <c r="I3" i="4"/>
  <c r="K3" i="4" s="1"/>
  <c r="B27" i="2" s="1"/>
  <c r="H3" i="4"/>
  <c r="N2" i="4"/>
  <c r="E26" i="2" s="1"/>
  <c r="E31" i="2" s="1"/>
  <c r="M2" i="4"/>
  <c r="C26" i="2" s="1"/>
  <c r="L2" i="4"/>
  <c r="D26" i="2" s="1"/>
  <c r="D31" i="2" s="1"/>
  <c r="J2" i="4"/>
  <c r="I2" i="4"/>
  <c r="K2" i="4" s="1"/>
  <c r="B26" i="2" s="1"/>
  <c r="H2" i="4"/>
  <c r="G31" i="2"/>
  <c r="J30" i="2"/>
  <c r="I30" i="2"/>
  <c r="H30" i="2"/>
  <c r="G30" i="2"/>
  <c r="F30" i="2"/>
  <c r="E30" i="2"/>
  <c r="D30" i="2"/>
  <c r="C30" i="2"/>
  <c r="A30" i="2"/>
  <c r="I29" i="2"/>
  <c r="H29" i="2"/>
  <c r="J29" i="2" s="1"/>
  <c r="G29" i="2"/>
  <c r="F29" i="2"/>
  <c r="E29" i="2"/>
  <c r="D29" i="2"/>
  <c r="C29" i="2"/>
  <c r="A29" i="2"/>
  <c r="J28" i="2"/>
  <c r="I28" i="2"/>
  <c r="H28" i="2"/>
  <c r="G28" i="2"/>
  <c r="F28" i="2"/>
  <c r="E28" i="2"/>
  <c r="D28" i="2"/>
  <c r="C28" i="2"/>
  <c r="A28" i="2"/>
  <c r="I27" i="2"/>
  <c r="I31" i="2" s="1"/>
  <c r="H27" i="2"/>
  <c r="J27" i="2" s="1"/>
  <c r="G27" i="2"/>
  <c r="F27" i="2"/>
  <c r="E27" i="2"/>
  <c r="D27" i="2"/>
  <c r="A27" i="2"/>
  <c r="J26" i="2"/>
  <c r="J31" i="2" s="1"/>
  <c r="I26" i="2"/>
  <c r="H26" i="2"/>
  <c r="G26" i="2"/>
  <c r="F26" i="2"/>
  <c r="A26" i="2"/>
  <c r="E17" i="2"/>
  <c r="E16" i="2"/>
  <c r="B16" i="2"/>
  <c r="B15" i="2"/>
  <c r="B14" i="2"/>
  <c r="B13" i="2"/>
  <c r="B10" i="2"/>
  <c r="B9" i="2"/>
  <c r="E8" i="2"/>
  <c r="B8" i="2"/>
  <c r="E7" i="2"/>
  <c r="B7" i="2"/>
  <c r="E6" i="2"/>
  <c r="B6" i="2"/>
  <c r="E5" i="2"/>
  <c r="B5" i="2"/>
  <c r="B2" i="2"/>
  <c r="C31" i="2" l="1"/>
  <c r="E12" i="2"/>
  <c r="E11" i="2"/>
  <c r="E13" i="2" s="1"/>
  <c r="J12" i="5"/>
  <c r="G17" i="5"/>
  <c r="H22" i="5"/>
  <c r="G12" i="5"/>
  <c r="H17" i="5"/>
  <c r="H31" i="2"/>
  <c r="B20" i="2" l="1"/>
  <c r="B23" i="2"/>
  <c r="B19" i="2"/>
  <c r="B22" i="2"/>
  <c r="B21" i="2"/>
</calcChain>
</file>

<file path=xl/sharedStrings.xml><?xml version="1.0" encoding="utf-8"?>
<sst xmlns="http://schemas.openxmlformats.org/spreadsheetml/2006/main" count="784" uniqueCount="336">
  <si>
    <t>Site Start-Up &amp; Essential Document Tracker (sample)</t>
  </si>
  <si>
    <t>FICTIONAL DATA ONLY. The study, sites, people and figures are invented for demonstration. No real trial, site or patient information.</t>
  </si>
  <si>
    <t>Purpose</t>
  </si>
  <si>
    <t>Shows how a Clinical Trial Coordinator could track essential documents, site readiness, follow-up actions and site payments for a UK study with five sites.</t>
  </si>
  <si>
    <t>Tabs</t>
  </si>
  <si>
    <t>Dashboard  - summary counts, per-site view and charts, all calculated from the other tabs</t>
  </si>
  <si>
    <t>Settings  - report date, warning windows and drop-down lists</t>
  </si>
  <si>
    <t>Sites  - one row per site: target vs actual Site Ready date, % documents filed, Site Ready blockers</t>
  </si>
  <si>
    <t>Gantt  - start-up phases per site on a weekly timeline: planned against actual, with status and days vs plan</t>
  </si>
  <si>
    <t>Documents  - one row per essential document per site: status, expiry flag, filing quality check, next action and chase date</t>
  </si>
  <si>
    <t>Payments  - milestone payments per site: budget vs invoiced, days outstanding</t>
  </si>
  <si>
    <t>Contact Log  - record of contact with sites and whether follow-ups are done</t>
  </si>
  <si>
    <t>Change Log  - audit trail: what was changed, when, by whom and why</t>
  </si>
  <si>
    <t>How to use</t>
  </si>
  <si>
    <t>Blue text = cells you type into. Black text = formulas; do not overwrite.</t>
  </si>
  <si>
    <t>Change the Report date on Settings and every flag, count and days-outstanding figure updates.</t>
  </si>
  <si>
    <t>Status columns use drop-down lists so entries stay consistent and the counts stay accurate.</t>
  </si>
  <si>
    <t>Enter a Chase date only while an action is open; clear it when the action is complete.</t>
  </si>
  <si>
    <t>Record every change to a status, date or amount on the Change Log tab.</t>
  </si>
  <si>
    <t>Flags</t>
  </si>
  <si>
    <t>Document flag: Expired / Missing (red), Expiring soon (amber), In progress (grey), OK (green).</t>
  </si>
  <si>
    <t>Chase status: Overdue (red), Due this week (amber), Scheduled (grey).</t>
  </si>
  <si>
    <t>Filing QC: Pass if filed within the filing target after receipt, otherwise Late.</t>
  </si>
  <si>
    <t>Study DEMO-001: start-up dashboard (fictional data)</t>
  </si>
  <si>
    <t>Report date</t>
  </si>
  <si>
    <t>Document flags</t>
  </si>
  <si>
    <t>Count</t>
  </si>
  <si>
    <t>Follow-up actions</t>
  </si>
  <si>
    <t>Expired</t>
  </si>
  <si>
    <t>Chases overdue</t>
  </si>
  <si>
    <t>Expiring soon</t>
  </si>
  <si>
    <t>Chases due this week</t>
  </si>
  <si>
    <t>Missing</t>
  </si>
  <si>
    <t>Chases scheduled</t>
  </si>
  <si>
    <t>In progress</t>
  </si>
  <si>
    <t>Site follow-ups overdue</t>
  </si>
  <si>
    <t>OK</t>
  </si>
  <si>
    <t>Total documents</t>
  </si>
  <si>
    <t>Filing quality check</t>
  </si>
  <si>
    <t>Filed on time (Pass)</t>
  </si>
  <si>
    <t>Site status</t>
  </si>
  <si>
    <t>Filed late</t>
  </si>
  <si>
    <t>Start-up</t>
  </si>
  <si>
    <t>On-time filing rate</t>
  </si>
  <si>
    <t>Site Ready</t>
  </si>
  <si>
    <t>Recruiting</t>
  </si>
  <si>
    <t>Payments</t>
  </si>
  <si>
    <t>On hold</t>
  </si>
  <si>
    <t>Invoices unpaid</t>
  </si>
  <si>
    <t>Unpaid beyond overdue limit</t>
  </si>
  <si>
    <t>Start-up phases (Gantt)</t>
  </si>
  <si>
    <t>Complete</t>
  </si>
  <si>
    <t>Late</t>
  </si>
  <si>
    <t>Not started</t>
  </si>
  <si>
    <t>Site</t>
  </si>
  <si>
    <t>% documents filed</t>
  </si>
  <si>
    <t>Site Ready blockers</t>
  </si>
  <si>
    <t>Open issues</t>
  </si>
  <si>
    <t>Overdue chases</t>
  </si>
  <si>
    <t>Days vs target</t>
  </si>
  <si>
    <t>Budgeted (£)</t>
  </si>
  <si>
    <t>Invoiced (£)</t>
  </si>
  <si>
    <t>Paid (£)</t>
  </si>
  <si>
    <t>Unpaid invoices (£)</t>
  </si>
  <si>
    <t>Total</t>
  </si>
  <si>
    <t>Settings</t>
  </si>
  <si>
    <t>Fixed so the sample looks the same whenever opened. For live use, replace with =TODAY().</t>
  </si>
  <si>
    <t>Expiry warning (days)</t>
  </si>
  <si>
    <t>Assumption: documents expiring within this many days are flagged 'Expiring soon'.</t>
  </si>
  <si>
    <t>Study</t>
  </si>
  <si>
    <t>DEMO-001</t>
  </si>
  <si>
    <t>Fictional study code.</t>
  </si>
  <si>
    <t>Filing target (days)</t>
  </si>
  <si>
    <t>Assumption: a received document should be filed in the eTMF within this many days.</t>
  </si>
  <si>
    <t>Chase 'due soon' window (days)</t>
  </si>
  <si>
    <t>Assumption: chase dates within this many days show as 'Due this week'.</t>
  </si>
  <si>
    <t>Payment overdue (days)</t>
  </si>
  <si>
    <t>Assumption: invoices unpaid for longer than this are highlighted.</t>
  </si>
  <si>
    <t>Document status list</t>
  </si>
  <si>
    <t>Site status list</t>
  </si>
  <si>
    <t>Payment status list</t>
  </si>
  <si>
    <t>Not due</t>
  </si>
  <si>
    <t>Requested</t>
  </si>
  <si>
    <t>Invoice received</t>
  </si>
  <si>
    <t>Received</t>
  </si>
  <si>
    <t>Approved</t>
  </si>
  <si>
    <t>Filed in eTMF</t>
  </si>
  <si>
    <t>Paid</t>
  </si>
  <si>
    <t>Site ID</t>
  </si>
  <si>
    <t>Site name</t>
  </si>
  <si>
    <t>Principal Investigator</t>
  </si>
  <si>
    <t>City</t>
  </si>
  <si>
    <t>Target Site Ready date</t>
  </si>
  <si>
    <t>Actual Site Ready date</t>
  </si>
  <si>
    <t>Documents required</t>
  </si>
  <si>
    <t>Documents filed</t>
  </si>
  <si>
    <t>% filed</t>
  </si>
  <si>
    <t>Open issues (expired / expiring / missing)</t>
  </si>
  <si>
    <t>S01</t>
  </si>
  <si>
    <t>Northfield General Hospital</t>
  </si>
  <si>
    <t>Investigator A</t>
  </si>
  <si>
    <t>Leeds</t>
  </si>
  <si>
    <t>S02</t>
  </si>
  <si>
    <t>Riverside University Hospital</t>
  </si>
  <si>
    <t>Investigator B</t>
  </si>
  <si>
    <t>Bristol</t>
  </si>
  <si>
    <t>S03</t>
  </si>
  <si>
    <t>Ashdown Royal Infirmary</t>
  </si>
  <si>
    <t>Investigator C</t>
  </si>
  <si>
    <t>Manchester</t>
  </si>
  <si>
    <t>S04</t>
  </si>
  <si>
    <t>St Wilfrid's Cancer Centre</t>
  </si>
  <si>
    <t>Investigator D</t>
  </si>
  <si>
    <t>London</t>
  </si>
  <si>
    <t>S05</t>
  </si>
  <si>
    <t>Castlebrook Hospital</t>
  </si>
  <si>
    <t>Investigator E</t>
  </si>
  <si>
    <t>Glasgow</t>
  </si>
  <si>
    <t>Site Ready blockers = documents marked 'Needed for Site Ready' that are not yet filed, plus any that are filed but expired.</t>
  </si>
  <si>
    <t>Site start-up Gantt chart: planned phases against actual progress (fictional data)</t>
  </si>
  <si>
    <t>Phase</t>
  </si>
  <si>
    <t>Planned start</t>
  </si>
  <si>
    <t>Planned end</t>
  </si>
  <si>
    <t>Actual start</t>
  </si>
  <si>
    <t>Actual end</t>
  </si>
  <si>
    <t>Status</t>
  </si>
  <si>
    <t>Days vs plan</t>
  </si>
  <si>
    <t>Chart start</t>
  </si>
  <si>
    <t>Chart end</t>
  </si>
  <si>
    <t>Feasibility and site selection</t>
  </si>
  <si>
    <t>Contract and budget (CTRA)</t>
  </si>
  <si>
    <t>Ethics and regulatory approvals</t>
  </si>
  <si>
    <t>Essential document collection</t>
  </si>
  <si>
    <t>Site initiation visit and Site Ready</t>
  </si>
  <si>
    <t>Key</t>
  </si>
  <si>
    <t>Overrun past planned end (late phases)</t>
  </si>
  <si>
    <t>Week containing the report date</t>
  </si>
  <si>
    <t>Each column is one week, starting on the Monday shown. The first week (blue) is typed; the rest add 7 days.</t>
  </si>
  <si>
    <t>Bars are drawn by conditional formatting, not typed: a cell is coloured when its week falls between Chart start and Chart end.</t>
  </si>
  <si>
    <t>Chart start and Chart end use the actual dates where they exist, otherwise the planned dates.</t>
  </si>
  <si>
    <t>Status: Complete if there is an actual end date; On hold if the site is on hold; Late if the planned end has passed; In progress if started.</t>
  </si>
  <si>
    <t>Green dates on the last phase of each site are pulled from the Sites tab (target and actual Site Ready date).</t>
  </si>
  <si>
    <t>Days vs plan: positive = finished late or currently overdue; negative = finished early.</t>
  </si>
  <si>
    <t>Doc ID</t>
  </si>
  <si>
    <t>Document type</t>
  </si>
  <si>
    <t>Needed for Site Ready?</t>
  </si>
  <si>
    <t>Date requested</t>
  </si>
  <si>
    <t>Date received</t>
  </si>
  <si>
    <t>Expiry date</t>
  </si>
  <si>
    <t>Days to expiry</t>
  </si>
  <si>
    <t>Flag</t>
  </si>
  <si>
    <t>Owner</t>
  </si>
  <si>
    <t>Notes</t>
  </si>
  <si>
    <t>Date filed in eTMF</t>
  </si>
  <si>
    <t>Days to file</t>
  </si>
  <si>
    <t>Filing QC</t>
  </si>
  <si>
    <t>Next action</t>
  </si>
  <si>
    <t>Chase date</t>
  </si>
  <si>
    <t>Chase status</t>
  </si>
  <si>
    <t>D001</t>
  </si>
  <si>
    <t>Signed protocol signature page</t>
  </si>
  <si>
    <t>Y</t>
  </si>
  <si>
    <t>CTC</t>
  </si>
  <si>
    <t>D002</t>
  </si>
  <si>
    <t>Investigator CV (signed and dated)</t>
  </si>
  <si>
    <t>D003</t>
  </si>
  <si>
    <t>PI GCP certificate</t>
  </si>
  <si>
    <t>Reminder sent to PI</t>
  </si>
  <si>
    <t>Request renewed certificate before expiry</t>
  </si>
  <si>
    <t>D004</t>
  </si>
  <si>
    <t>REC / HRA approval letter</t>
  </si>
  <si>
    <t>D005</t>
  </si>
  <si>
    <t>MHRA approval</t>
  </si>
  <si>
    <t>D006</t>
  </si>
  <si>
    <t>Clinical trial agreement (CTRA) fully signed</t>
  </si>
  <si>
    <t>D007</t>
  </si>
  <si>
    <t>Study insurance certificate</t>
  </si>
  <si>
    <t>D008</t>
  </si>
  <si>
    <t>Delegation of duties log</t>
  </si>
  <si>
    <t>D009</t>
  </si>
  <si>
    <t>Laboratory accreditation certificate</t>
  </si>
  <si>
    <t>N</t>
  </si>
  <si>
    <t>D010</t>
  </si>
  <si>
    <t>Financial disclosure form</t>
  </si>
  <si>
    <t>D011</t>
  </si>
  <si>
    <t>D012</t>
  </si>
  <si>
    <t>D013</t>
  </si>
  <si>
    <t>D014</t>
  </si>
  <si>
    <t>D015</t>
  </si>
  <si>
    <t>D016</t>
  </si>
  <si>
    <t>D017</t>
  </si>
  <si>
    <t>Renewal requested from site 01-Oct</t>
  </si>
  <si>
    <t>Obtain renewed certificate (urgent)</t>
  </si>
  <si>
    <t>D018</t>
  </si>
  <si>
    <t>D019</t>
  </si>
  <si>
    <t>D020</t>
  </si>
  <si>
    <t>D021</t>
  </si>
  <si>
    <t>D022</t>
  </si>
  <si>
    <t>D023</t>
  </si>
  <si>
    <t>PI booked on refresher course</t>
  </si>
  <si>
    <t>D024</t>
  </si>
  <si>
    <t>D025</t>
  </si>
  <si>
    <t>D026</t>
  </si>
  <si>
    <t>D027</t>
  </si>
  <si>
    <t>Quality check and file in eTMF</t>
  </si>
  <si>
    <t>D028</t>
  </si>
  <si>
    <t>D029</t>
  </si>
  <si>
    <t>Chase site for outstanding document</t>
  </si>
  <si>
    <t>D030</t>
  </si>
  <si>
    <t>Send document request to site</t>
  </si>
  <si>
    <t>D031</t>
  </si>
  <si>
    <t>D032</t>
  </si>
  <si>
    <t>D033</t>
  </si>
  <si>
    <t>D034</t>
  </si>
  <si>
    <t>D035</t>
  </si>
  <si>
    <t>D036</t>
  </si>
  <si>
    <t>With site R&amp;D office for signature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</si>
  <si>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</si>
  <si>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</si>
  <si>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</si>
  <si>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</si>
  <si>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</si>
  <si>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</si>
  <si>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</si>
  <si>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</si>
  <si>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</si>
  <si>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Review when site hold is lifted</t>
  </si>
  <si>
    <t>D046</t>
  </si>
  <si>
    <t>D047</t>
  </si>
  <si>
    <t>Site on hold pending capacity review</t>
  </si>
  <si>
    <t>D048</t>
  </si>
  <si>
    <t>D049</t>
  </si>
  <si>
    <t>D050</t>
  </si>
  <si>
    <t>Payment ID</t>
  </si>
  <si>
    <t>Milestone</t>
  </si>
  <si>
    <t>Date paid</t>
  </si>
  <si>
    <t>Variance (£)</t>
  </si>
  <si>
    <t>Days outstanding</t>
  </si>
  <si>
    <t>P001</t>
  </si>
  <si>
    <t>Site set-up fee</t>
  </si>
  <si>
    <t>P002</t>
  </si>
  <si>
    <t>First patient enrolled</t>
  </si>
  <si>
    <t>P003</t>
  </si>
  <si>
    <t>Pharmacy set-up fee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</si>
  <si>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</si>
  <si>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</si>
  <si>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</si>
  <si>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</si>
  <si>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</si>
  <si>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</si>
  <si>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</si>
  <si>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</si>
  <si>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</si>
  <si>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</si>
  <si>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</si>
  <si>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</si>
  <si>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Invoices unpaid for longer than the 'Payment overdue' setting are highlighted. Positive variance = invoiced above budget.</t>
  </si>
  <si>
    <t>Contact ID</t>
  </si>
  <si>
    <t>Date</t>
  </si>
  <si>
    <t>Contact (role)</t>
  </si>
  <si>
    <t>Method</t>
  </si>
  <si>
    <t>Subject</t>
  </si>
  <si>
    <t>Outcome</t>
  </si>
  <si>
    <t>Follow-up due</t>
  </si>
  <si>
    <t>Follow-up done? (Y/N)</t>
  </si>
  <si>
    <t>Follow-up status</t>
  </si>
  <si>
    <t>C001</t>
  </si>
  <si>
    <t>Research nurse</t>
  </si>
  <si>
    <t>Email</t>
  </si>
  <si>
    <t>Insurance certificate expiring 30-Sep</t>
  </si>
  <si>
    <t>Site to request renewal from their R&amp;D office</t>
  </si>
  <si>
    <t>C002</t>
  </si>
  <si>
    <t>R&amp;D office</t>
  </si>
  <si>
    <t>Phone</t>
  </si>
  <si>
    <t>Insurance renewal not yet received</t>
  </si>
  <si>
    <t>Renewal in progress; certificate promised by 12-Oct</t>
  </si>
  <si>
    <t>C003</t>
  </si>
  <si>
    <t>GCP certificate expires 28-Oct</t>
  </si>
  <si>
    <t>C004</t>
  </si>
  <si>
    <t>CTRA signature status</t>
  </si>
  <si>
    <t>Contract with site legal team; update expected in one week</t>
  </si>
  <si>
    <t>C005</t>
  </si>
  <si>
    <t>Site coordinator</t>
  </si>
  <si>
    <t>Outstanding start-up documents</t>
  </si>
  <si>
    <t>Site to send insurance certificate and delegation log</t>
  </si>
  <si>
    <t>C006</t>
  </si>
  <si>
    <t>Meeting</t>
  </si>
  <si>
    <t>Site capacity and hold decision</t>
  </si>
  <si>
    <t>Site placed on hold; review in November</t>
  </si>
  <si>
    <t>C007</t>
  </si>
  <si>
    <t>Pharmacy lead</t>
  </si>
  <si>
    <t>Pharmacy set-up invoice above budget</t>
  </si>
  <si>
    <t>Extra dispensing visit confirmed; variance approved by CRM</t>
  </si>
  <si>
    <t>C008</t>
  </si>
  <si>
    <t>Finance contact</t>
  </si>
  <si>
    <t>Pharmacy invoice unpaid since 20-Aug</t>
  </si>
  <si>
    <t>Escalated to finance for payment run</t>
  </si>
  <si>
    <t>C009</t>
  </si>
  <si>
    <t>GCP certificate expires 20-Nov</t>
  </si>
  <si>
    <t>Reminder sent; PI acknowledged</t>
  </si>
  <si>
    <t>C010</t>
  </si>
  <si>
    <t>Documents received awaiting filing</t>
  </si>
  <si>
    <t>Confirmed final versions; ready for QC</t>
  </si>
  <si>
    <t>Change ID</t>
  </si>
  <si>
    <t>Tab</t>
  </si>
  <si>
    <t>Record ID</t>
  </si>
  <si>
    <t>Field</t>
  </si>
  <si>
    <t>Old value</t>
  </si>
  <si>
    <t>New value</t>
  </si>
  <si>
    <t>Changed by</t>
  </si>
  <si>
    <t>Reason</t>
  </si>
  <si>
    <t>L001</t>
  </si>
  <si>
    <t>Sites</t>
  </si>
  <si>
    <t>(blank)</t>
  </si>
  <si>
    <t>30-Jul-2026</t>
  </si>
  <si>
    <t>Site initiation completed; confirmed by CRA</t>
  </si>
  <si>
    <t>L002</t>
  </si>
  <si>
    <t>Payment confirmed by finance; variance of £150 approved by CRM</t>
  </si>
  <si>
    <t>L003</t>
  </si>
  <si>
    <t>Site capacity review; decision recorded in Contact Log C006</t>
  </si>
  <si>
    <t>L004</t>
  </si>
  <si>
    <t>22-Sep-2026</t>
  </si>
  <si>
    <t>Site Ready confirmed 8 days after target; pharmacy set-up delayed</t>
  </si>
  <si>
    <t>L005</t>
  </si>
  <si>
    <t>All documents needed for Site Ready filed</t>
  </si>
  <si>
    <t>L006</t>
  </si>
  <si>
    <t>-</t>
  </si>
  <si>
    <t>30</t>
  </si>
  <si>
    <t>60</t>
  </si>
  <si>
    <t>Agreed with COM: 30 days too short to obtain renewals</t>
  </si>
  <si>
    <t>L007</t>
  </si>
  <si>
    <t>Documents</t>
  </si>
  <si>
    <t>Insurance expired 30-Sep; renewal chased</t>
  </si>
  <si>
    <t>L008</t>
  </si>
  <si>
    <t>Document received from site by email</t>
  </si>
  <si>
    <t>Rule: never overwrite a status, date or amount without adding a row here. Entries are added, never deleted.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</si>
</sst>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\£#,##0;&quot;(£&quot;#,##0\);\-"/>
    <numFmt numFmtId="166" formatCode="dd\-mmm"/>
  </numFmts>
  <fonts count="12" x14ac:knownFonts="1">
    <font>
      <sz val="11"/>
      <color theme="1"/>
      <name val="Calibri"/>
      <family val="2"/>
      <charset val="1"/>
    </font>
    <font>
      <b/>
      <sz val="16"/>
      <name val="Arial"/>
      <family val="2"/>
    </font>
    <font>
      <b/>
      <sz val="11"/>
      <color rgb="FFC0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1"/>
      <color rgb="FF008000"/>
      <name val="Arial"/>
      <family val="2"/>
    </font>
    <font>
      <b/>
      <sz val="11"/>
      <color rgb="FFFFFFFF"/>
      <name val="Arial"/>
      <family val="2"/>
    </font>
    <font>
      <sz val="11"/>
      <color rgb="FF0000FF"/>
      <name val="Arial"/>
      <family val="2"/>
    </font>
    <font>
      <i/>
      <sz val="11"/>
      <color rgb="FF595959"/>
      <name val="Arial"/>
      <family val="2"/>
    </font>
    <font>
      <sz val="8"/>
      <color rgb="FF0000FF"/>
      <name val="Arial"/>
      <family val="2"/>
    </font>
    <font>
      <sz val="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70AD47"/>
        <bgColor rgb="FF878787"/>
      </patternFill>
    </fill>
    <fill>
      <patternFill patternType="solid">
        <fgColor rgb="FF2E75B6"/>
        <bgColor rgb="FF4F81BD"/>
      </patternFill>
    </fill>
    <fill>
      <patternFill patternType="solid">
        <fgColor rgb="FFC00000"/>
        <bgColor rgb="FF800000"/>
      </patternFill>
    </fill>
    <fill>
      <patternFill patternType="solid">
        <fgColor rgb="FFA6A6A6"/>
        <bgColor rgb="FFBFBFBF"/>
      </patternFill>
    </fill>
    <fill>
      <patternFill patternType="solid">
        <fgColor rgb="FFBDD7EE"/>
        <bgColor rgb="FFD9D9D9"/>
      </patternFill>
    </fill>
    <fill>
      <patternFill patternType="solid">
        <fgColor rgb="FFF4B183"/>
        <bgColor rgb="FFF8CBAD"/>
      </patternFill>
    </fill>
    <fill>
      <patternFill patternType="solid">
        <fgColor rgb="FFFFF2CC"/>
        <bgColor rgb="FFE7E6E6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hair">
        <color rgb="FFD9D9D9"/>
      </left>
      <right/>
      <top/>
      <bottom style="hair">
        <color rgb="FFD9D9D9"/>
      </bottom>
      <diagonal/>
    </border>
    <border>
      <left style="hair">
        <color rgb="FFD9D9D9"/>
      </left>
      <right/>
      <top/>
      <bottom style="medium">
        <color rgb="FF7F7F7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/>
    <xf numFmtId="0" fontId="4" fillId="0" borderId="0" xfId="0" applyFont="1"/>
    <xf numFmtId="164" fontId="6" fillId="0" borderId="0" xfId="0" applyNumberFormat="1" applyFont="1"/>
    <xf numFmtId="0" fontId="7" fillId="2" borderId="0" xfId="0" applyFont="1" applyFill="1"/>
    <xf numFmtId="0" fontId="3" fillId="0" borderId="1" xfId="0" applyFont="1" applyBorder="1"/>
    <xf numFmtId="0" fontId="4" fillId="0" borderId="1" xfId="0" applyFont="1" applyBorder="1"/>
    <xf numFmtId="9" fontId="3" fillId="0" borderId="1" xfId="0" applyNumberFormat="1" applyFont="1" applyBorder="1"/>
    <xf numFmtId="0" fontId="7" fillId="2" borderId="0" xfId="0" applyFont="1" applyFill="1" applyAlignment="1">
      <alignment vertical="center" wrapText="1"/>
    </xf>
    <xf numFmtId="1" fontId="3" fillId="0" borderId="1" xfId="0" applyNumberFormat="1" applyFont="1" applyBorder="1"/>
    <xf numFmtId="165" fontId="3" fillId="0" borderId="1" xfId="0" applyNumberFormat="1" applyFont="1" applyBorder="1"/>
    <xf numFmtId="165" fontId="4" fillId="0" borderId="1" xfId="0" applyNumberFormat="1" applyFont="1" applyBorder="1"/>
    <xf numFmtId="164" fontId="8" fillId="0" borderId="0" xfId="0" applyNumberFormat="1" applyFont="1" applyAlignment="1">
      <alignment horizontal="left"/>
    </xf>
    <xf numFmtId="0" fontId="9" fillId="0" borderId="0" xfId="0" applyFont="1"/>
    <xf numFmtId="0" fontId="8" fillId="0" borderId="0" xfId="0" applyFont="1" applyAlignment="1">
      <alignment horizontal="left"/>
    </xf>
    <xf numFmtId="0" fontId="3" fillId="0" borderId="0" xfId="0" applyFont="1"/>
    <xf numFmtId="0" fontId="7" fillId="2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top" wrapText="1"/>
    </xf>
    <xf numFmtId="164" fontId="8" fillId="0" borderId="1" xfId="0" applyNumberFormat="1" applyFont="1" applyBorder="1" applyAlignment="1">
      <alignment vertical="top" wrapText="1"/>
    </xf>
    <xf numFmtId="1" fontId="3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9" fontId="3" fillId="0" borderId="1" xfId="0" applyNumberFormat="1" applyFont="1" applyBorder="1" applyAlignment="1">
      <alignment vertical="top" wrapText="1"/>
    </xf>
    <xf numFmtId="166" fontId="10" fillId="0" borderId="0" xfId="0" applyNumberFormat="1" applyFont="1" applyAlignment="1">
      <alignment horizontal="center" textRotation="90"/>
    </xf>
    <xf numFmtId="166" fontId="11" fillId="0" borderId="0" xfId="0" applyNumberFormat="1" applyFont="1" applyAlignment="1">
      <alignment horizontal="center" textRotation="90"/>
    </xf>
    <xf numFmtId="0" fontId="8" fillId="0" borderId="1" xfId="0" applyFont="1" applyBorder="1"/>
    <xf numFmtId="164" fontId="8" fillId="0" borderId="1" xfId="0" applyNumberFormat="1" applyFont="1" applyBorder="1"/>
    <xf numFmtId="164" fontId="3" fillId="0" borderId="1" xfId="0" applyNumberFormat="1" applyFont="1" applyBorder="1"/>
    <xf numFmtId="0" fontId="0" fillId="0" borderId="2" xfId="0" applyBorder="1"/>
    <xf numFmtId="164" fontId="6" fillId="0" borderId="1" xfId="0" applyNumberFormat="1" applyFont="1" applyBorder="1"/>
    <xf numFmtId="0" fontId="0" fillId="0" borderId="3" xfId="0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165" fontId="8" fillId="0" borderId="1" xfId="0" applyNumberFormat="1" applyFont="1" applyBorder="1" applyAlignment="1">
      <alignment vertical="top" wrapText="1"/>
    </xf>
    <xf numFmtId="165" fontId="3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32">
    <dxf>
      <fill>
        <patternFill>
          <bgColor rgb="FFC6E0B4"/>
        </patternFill>
      </fill>
    </dxf>
    <dxf>
      <fill>
        <patternFill>
          <bgColor rgb="FFE7E6E6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ont>
        <b/>
        <color rgb="FFC00000"/>
        <name val="Arial"/>
        <charset val="1"/>
      </font>
    </dxf>
    <dxf>
      <fill>
        <patternFill>
          <bgColor rgb="FFE7E6E6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E7E6E6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BDD7EE"/>
        </patternFill>
      </fill>
    </dxf>
    <dxf>
      <fill>
        <patternFill>
          <bgColor rgb="FFA6A6A6"/>
        </patternFill>
      </fill>
    </dxf>
    <dxf>
      <fill>
        <patternFill>
          <bgColor rgb="FFC00000"/>
        </patternFill>
      </fill>
    </dxf>
    <dxf>
      <fill>
        <patternFill>
          <bgColor rgb="FF2E75B6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FFD966"/>
        </patternFill>
      </fill>
    </dxf>
    <dxf>
      <font>
        <b/>
        <color rgb="FFC00000"/>
        <name val="Arial"/>
        <charset val="1"/>
      </font>
    </dxf>
    <dxf>
      <fill>
        <patternFill>
          <bgColor rgb="FFE7E6E6"/>
        </patternFill>
      </fill>
    </dxf>
    <dxf>
      <fill>
        <patternFill>
          <bgColor rgb="FFF8CBAD"/>
        </patternFill>
      </fill>
    </dxf>
    <dxf>
      <fill>
        <patternFill>
          <bgColor rgb="FFBDD7EE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ont>
        <b/>
        <color rgb="FFC00000"/>
        <name val="Arial"/>
        <charset val="1"/>
      </font>
    </dxf>
    <dxf>
      <font>
        <b/>
        <color rgb="FFC00000"/>
        <name val="Arial"/>
        <charset val="1"/>
      </font>
    </dxf>
    <dxf>
      <fill>
        <patternFill>
          <bgColor rgb="FFFFE69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A6A6A6"/>
      <rgbColor rgb="FF993366"/>
      <rgbColor rgb="FFFFF2CC"/>
      <rgbColor rgb="FFE7E6E6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6E0B4"/>
      <rgbColor rgb="FFFFE699"/>
      <rgbColor rgb="FF99CCFF"/>
      <rgbColor rgb="FFF4B183"/>
      <rgbColor rgb="FFCC99FF"/>
      <rgbColor rgb="FFF8CBAD"/>
      <rgbColor rgb="FF2E75B6"/>
      <rgbColor rgb="FF33CCCC"/>
      <rgbColor rgb="FF70AD47"/>
      <rgbColor rgb="FFFFD966"/>
      <rgbColor rgb="FFFF9900"/>
      <rgbColor rgb="FFFF6600"/>
      <rgbColor rgb="FF595959"/>
      <rgbColor rgb="FF878787"/>
      <rgbColor rgb="FF003366"/>
      <rgbColor rgb="FF4F81BD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Documents by flag</a:t>
            </a: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Dashboard!$A$5:$A$9</c:f>
              <c:strCache>
                <c:ptCount val="5"/>
                <c:pt idx="0">
                  <c:v>Expired</c:v>
                </c:pt>
                <c:pt idx="1">
                  <c:v>Expiring soon</c:v>
                </c:pt>
                <c:pt idx="2">
                  <c:v>Missing</c:v>
                </c:pt>
                <c:pt idx="3">
                  <c:v>In progress</c:v>
                </c:pt>
                <c:pt idx="4">
                  <c:v>OK</c:v>
                </c:pt>
              </c:strCache>
            </c:strRef>
          </c:cat>
          <c:val>
            <c:numRef>
              <c:f>Dashboard!$B$5:$B$9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7</c:v>
                </c:pt>
                <c:pt idx="3">
                  <c:v>10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F2-364B-8415-AAA6B6CAB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55178608"/>
        <c:axId val="55464344"/>
      </c:barChart>
      <c:catAx>
        <c:axId val="55178608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64344"/>
        <c:crosses val="autoZero"/>
        <c:auto val="1"/>
        <c:lblAlgn val="ctr"/>
        <c:lblOffset val="100"/>
        <c:noMultiLvlLbl val="0"/>
      </c:catAx>
      <c:valAx>
        <c:axId val="5546434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7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% of documents filed, by site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Dashboard!$A$26:$A$30</c:f>
              <c:strCache>
                <c:ptCount val="5"/>
                <c:pt idx="0">
                  <c:v>S01 Northfield General Hospital</c:v>
                </c:pt>
                <c:pt idx="1">
                  <c:v>S02 Riverside University Hospital</c:v>
                </c:pt>
                <c:pt idx="2">
                  <c:v>S03 Ashdown Royal Infirmary</c:v>
                </c:pt>
                <c:pt idx="3">
                  <c:v>S04 St Wilfrid's Cancer Centre</c:v>
                </c:pt>
                <c:pt idx="4">
                  <c:v>S05 Castlebrook Hospital</c:v>
                </c:pt>
              </c:strCache>
            </c:strRef>
          </c:cat>
          <c:val>
            <c:numRef>
              <c:f>Dashboard!$B$26:$B$30</c:f>
              <c:numCache>
                <c:formatCode>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0.6</c:v>
                </c:pt>
                <c:pt idx="3">
                  <c:v>0.3</c:v>
                </c:pt>
                <c:pt idx="4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8-3F45-883C-C87E394B1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2675395"/>
        <c:axId val="77100749"/>
      </c:barChart>
      <c:catAx>
        <c:axId val="12675395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00749"/>
        <c:crosses val="autoZero"/>
        <c:auto val="1"/>
        <c:lblAlgn val="ctr"/>
        <c:lblOffset val="100"/>
        <c:noMultiLvlLbl val="0"/>
      </c:catAx>
      <c:valAx>
        <c:axId val="77100749"/>
        <c:scaling>
          <c:orientation val="minMax"/>
          <c:max val="1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53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160920</xdr:rowOff>
    </xdr:from>
    <xdr:to>
      <xdr:col>3</xdr:col>
      <xdr:colOff>732600</xdr:colOff>
      <xdr:row>45</xdr:row>
      <xdr:rowOff>13320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31</xdr:row>
      <xdr:rowOff>160920</xdr:rowOff>
    </xdr:from>
    <xdr:to>
      <xdr:col>10</xdr:col>
      <xdr:colOff>42840</xdr:colOff>
      <xdr:row>45</xdr:row>
      <xdr:rowOff>13320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zoomScaleNormal="100" workbookViewId="0"/>
  </sheetViews>
  <sheetFormatPr baseColWidth="10" defaultColWidth="8.6640625" defaultRowHeight="15" x14ac:dyDescent="0.2"/>
  <cols>
    <col min="1" max="1" width="115" customWidth="1"/>
  </cols>
  <sheetData>
    <row r="1" spans="1:1" ht="21" x14ac:dyDescent="0.2">
      <c r="A1" s="1" t="s">
        <v>0</v>
      </c>
    </row>
    <row r="2" spans="1:1" ht="31" x14ac:dyDescent="0.2">
      <c r="A2" s="2" t="s">
        <v>1</v>
      </c>
    </row>
    <row r="3" spans="1:1" x14ac:dyDescent="0.2">
      <c r="A3" s="3"/>
    </row>
    <row r="4" spans="1:1" ht="16" x14ac:dyDescent="0.2">
      <c r="A4" s="4" t="s">
        <v>2</v>
      </c>
    </row>
    <row r="5" spans="1:1" ht="31" x14ac:dyDescent="0.2">
      <c r="A5" s="3" t="s">
        <v>3</v>
      </c>
    </row>
    <row r="6" spans="1:1" x14ac:dyDescent="0.2">
      <c r="A6" s="3"/>
    </row>
    <row r="7" spans="1:1" ht="16" x14ac:dyDescent="0.2">
      <c r="A7" s="4" t="s">
        <v>4</v>
      </c>
    </row>
    <row r="8" spans="1:1" ht="16" x14ac:dyDescent="0.2">
      <c r="A8" s="3" t="s">
        <v>5</v>
      </c>
    </row>
    <row r="9" spans="1:1" ht="16" x14ac:dyDescent="0.2">
      <c r="A9" s="3" t="s">
        <v>6</v>
      </c>
    </row>
    <row r="10" spans="1:1" ht="16" x14ac:dyDescent="0.2">
      <c r="A10" s="3" t="s">
        <v>7</v>
      </c>
    </row>
    <row r="11" spans="1:1" ht="16" x14ac:dyDescent="0.2">
      <c r="A11" s="3" t="s">
        <v>8</v>
      </c>
    </row>
    <row r="12" spans="1:1" ht="16" x14ac:dyDescent="0.2">
      <c r="A12" s="3" t="s">
        <v>9</v>
      </c>
    </row>
    <row r="13" spans="1:1" ht="16" x14ac:dyDescent="0.2">
      <c r="A13" s="3" t="s">
        <v>10</v>
      </c>
    </row>
    <row r="14" spans="1:1" ht="16" x14ac:dyDescent="0.2">
      <c r="A14" s="3" t="s">
        <v>11</v>
      </c>
    </row>
    <row r="15" spans="1:1" ht="16" x14ac:dyDescent="0.2">
      <c r="A15" s="3" t="s">
        <v>12</v>
      </c>
    </row>
    <row r="16" spans="1:1" x14ac:dyDescent="0.2">
      <c r="A16" s="3"/>
    </row>
    <row r="17" spans="1:1" ht="16" x14ac:dyDescent="0.2">
      <c r="A17" s="4" t="s">
        <v>13</v>
      </c>
    </row>
    <row r="18" spans="1:1" ht="16" x14ac:dyDescent="0.2">
      <c r="A18" s="3" t="s">
        <v>14</v>
      </c>
    </row>
    <row r="19" spans="1:1" ht="16" x14ac:dyDescent="0.2">
      <c r="A19" s="3" t="s">
        <v>15</v>
      </c>
    </row>
    <row r="20" spans="1:1" ht="16" x14ac:dyDescent="0.2">
      <c r="A20" s="3" t="s">
        <v>16</v>
      </c>
    </row>
    <row r="21" spans="1:1" ht="16" x14ac:dyDescent="0.2">
      <c r="A21" s="3" t="s">
        <v>17</v>
      </c>
    </row>
    <row r="22" spans="1:1" ht="16" x14ac:dyDescent="0.2">
      <c r="A22" s="3" t="s">
        <v>18</v>
      </c>
    </row>
    <row r="23" spans="1:1" x14ac:dyDescent="0.2">
      <c r="A23" s="3"/>
    </row>
    <row r="24" spans="1:1" ht="16" x14ac:dyDescent="0.2">
      <c r="A24" s="4" t="s">
        <v>19</v>
      </c>
    </row>
    <row r="25" spans="1:1" ht="16" x14ac:dyDescent="0.2">
      <c r="A25" s="3" t="s">
        <v>20</v>
      </c>
    </row>
    <row r="26" spans="1:1" ht="16" x14ac:dyDescent="0.2">
      <c r="A26" s="3" t="s">
        <v>21</v>
      </c>
    </row>
    <row r="27" spans="1:1" ht="16" x14ac:dyDescent="0.2">
      <c r="A27" s="3" t="s">
        <v>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1"/>
  <sheetViews>
    <sheetView tabSelected="1" zoomScale="64" zoomScaleNormal="100" workbookViewId="0">
      <selection activeCell="F5" sqref="F5"/>
    </sheetView>
  </sheetViews>
  <sheetFormatPr baseColWidth="10" defaultColWidth="8.6640625" defaultRowHeight="15" x14ac:dyDescent="0.2"/>
  <cols>
    <col min="1" max="1" width="32" customWidth="1"/>
    <col min="2" max="3" width="12" customWidth="1"/>
    <col min="4" max="4" width="28" customWidth="1"/>
    <col min="5" max="6" width="12" customWidth="1"/>
    <col min="7" max="10" width="13" customWidth="1"/>
  </cols>
  <sheetData>
    <row r="1" spans="1:5" ht="18" x14ac:dyDescent="0.2">
      <c r="A1" s="5" t="s">
        <v>23</v>
      </c>
    </row>
    <row r="2" spans="1:5" x14ac:dyDescent="0.2">
      <c r="A2" s="6" t="s">
        <v>24</v>
      </c>
      <c r="B2" s="7">
        <f>Settings!$B$3</f>
        <v>46304</v>
      </c>
    </row>
    <row r="4" spans="1:5" x14ac:dyDescent="0.2">
      <c r="A4" s="8" t="s">
        <v>25</v>
      </c>
      <c r="B4" s="8" t="s">
        <v>26</v>
      </c>
      <c r="D4" s="8" t="s">
        <v>27</v>
      </c>
      <c r="E4" s="8" t="s">
        <v>26</v>
      </c>
    </row>
    <row r="5" spans="1:5" x14ac:dyDescent="0.2">
      <c r="A5" s="9" t="s">
        <v>28</v>
      </c>
      <c r="B5" s="9">
        <f>COUNTIF(Documents!$J:$J,"Expired")</f>
        <v>1</v>
      </c>
      <c r="D5" s="9" t="s">
        <v>29</v>
      </c>
      <c r="E5" s="9">
        <f>COUNTIF(Documents!$R:$R,"Overdue")</f>
        <v>3</v>
      </c>
    </row>
    <row r="6" spans="1:5" x14ac:dyDescent="0.2">
      <c r="A6" s="9" t="s">
        <v>30</v>
      </c>
      <c r="B6" s="9">
        <f>COUNTIF(Documents!$J:$J,"Expiring soon")</f>
        <v>2</v>
      </c>
      <c r="D6" s="9" t="s">
        <v>31</v>
      </c>
      <c r="E6" s="9">
        <f>COUNTIF(Documents!$R:$R,"Due this week")</f>
        <v>9</v>
      </c>
    </row>
    <row r="7" spans="1:5" x14ac:dyDescent="0.2">
      <c r="A7" s="9" t="s">
        <v>32</v>
      </c>
      <c r="B7" s="9">
        <f>COUNTIF(Documents!$J:$J,"Missing")</f>
        <v>7</v>
      </c>
      <c r="D7" s="9" t="s">
        <v>33</v>
      </c>
      <c r="E7" s="9">
        <f>COUNTIF(Documents!$R:$R,"Scheduled")</f>
        <v>8</v>
      </c>
    </row>
    <row r="8" spans="1:5" x14ac:dyDescent="0.2">
      <c r="A8" s="9" t="s">
        <v>34</v>
      </c>
      <c r="B8" s="9">
        <f>COUNTIF(Documents!$J:$J,"In progress")</f>
        <v>10</v>
      </c>
      <c r="D8" s="9" t="s">
        <v>35</v>
      </c>
      <c r="E8" s="9">
        <f>COUNTIF('Contact Log'!$J:$J,"Overdue")</f>
        <v>2</v>
      </c>
    </row>
    <row r="9" spans="1:5" x14ac:dyDescent="0.2">
      <c r="A9" s="9" t="s">
        <v>36</v>
      </c>
      <c r="B9" s="9">
        <f>COUNTIF(Documents!$J:$J,"OK")</f>
        <v>30</v>
      </c>
    </row>
    <row r="10" spans="1:5" x14ac:dyDescent="0.2">
      <c r="A10" s="10" t="s">
        <v>37</v>
      </c>
      <c r="B10" s="10">
        <f>COUNTA(Documents!$A:$A)-1</f>
        <v>50</v>
      </c>
      <c r="D10" s="8" t="s">
        <v>38</v>
      </c>
      <c r="E10" s="8" t="s">
        <v>26</v>
      </c>
    </row>
    <row r="11" spans="1:5" x14ac:dyDescent="0.2">
      <c r="D11" s="9" t="s">
        <v>39</v>
      </c>
      <c r="E11" s="9">
        <f>COUNTIF(Documents!$O:$O,"Pass")</f>
        <v>29</v>
      </c>
    </row>
    <row r="12" spans="1:5" x14ac:dyDescent="0.2">
      <c r="A12" s="8" t="s">
        <v>40</v>
      </c>
      <c r="B12" s="8" t="s">
        <v>26</v>
      </c>
      <c r="D12" s="9" t="s">
        <v>41</v>
      </c>
      <c r="E12" s="9">
        <f>COUNTIF(Documents!$O:$O,"Late")</f>
        <v>4</v>
      </c>
    </row>
    <row r="13" spans="1:5" x14ac:dyDescent="0.2">
      <c r="A13" s="9" t="s">
        <v>42</v>
      </c>
      <c r="B13" s="9">
        <f>COUNTIF(Sites!$E:$E,"Start-up")</f>
        <v>2</v>
      </c>
      <c r="D13" s="9" t="s">
        <v>43</v>
      </c>
      <c r="E13" s="11">
        <f>IF(E11+E12=0,0,E11/(E11+E12))</f>
        <v>0.87878787878787878</v>
      </c>
    </row>
    <row r="14" spans="1:5" x14ac:dyDescent="0.2">
      <c r="A14" s="9" t="s">
        <v>44</v>
      </c>
      <c r="B14" s="9">
        <f>COUNTIF(Sites!$E:$E,"Site Ready")</f>
        <v>1</v>
      </c>
    </row>
    <row r="15" spans="1:5" x14ac:dyDescent="0.2">
      <c r="A15" s="9" t="s">
        <v>45</v>
      </c>
      <c r="B15" s="9">
        <f>COUNTIF(Sites!$E:$E,"Recruiting")</f>
        <v>1</v>
      </c>
      <c r="D15" s="8" t="s">
        <v>46</v>
      </c>
      <c r="E15" s="8" t="s">
        <v>26</v>
      </c>
    </row>
    <row r="16" spans="1:5" x14ac:dyDescent="0.2">
      <c r="A16" s="9" t="s">
        <v>47</v>
      </c>
      <c r="B16" s="9">
        <f>COUNTIF(Sites!$E:$E,"On hold")</f>
        <v>1</v>
      </c>
      <c r="D16" s="9" t="s">
        <v>48</v>
      </c>
      <c r="E16" s="9">
        <f>COUNTIFS(Payments!$E:$E,"&lt;&gt;",Payments!$H:$H,"",Payments!$A:$A,"P*")</f>
        <v>3</v>
      </c>
    </row>
    <row r="17" spans="1:10" x14ac:dyDescent="0.2">
      <c r="D17" s="9" t="s">
        <v>49</v>
      </c>
      <c r="E17" s="9">
        <f>COUNTIF(Payments!$J:$J,"&gt;"&amp;Settings!$B$8)</f>
        <v>1</v>
      </c>
    </row>
    <row r="18" spans="1:10" x14ac:dyDescent="0.2">
      <c r="A18" s="8" t="s">
        <v>50</v>
      </c>
      <c r="B18" s="8" t="s">
        <v>26</v>
      </c>
    </row>
    <row r="19" spans="1:10" x14ac:dyDescent="0.2">
      <c r="A19" s="9" t="s">
        <v>51</v>
      </c>
      <c r="B19" s="9">
        <f>COUNTIF(Gantt!$G:$G,"Complete")</f>
        <v>15</v>
      </c>
    </row>
    <row r="20" spans="1:10" x14ac:dyDescent="0.2">
      <c r="A20" s="9" t="s">
        <v>34</v>
      </c>
      <c r="B20" s="9">
        <f>COUNTIF(Gantt!$G:$G,"In progress")</f>
        <v>3</v>
      </c>
    </row>
    <row r="21" spans="1:10" x14ac:dyDescent="0.2">
      <c r="A21" s="9" t="s">
        <v>52</v>
      </c>
      <c r="B21" s="9">
        <f>COUNTIF(Gantt!$G:$G,"Late")</f>
        <v>1</v>
      </c>
    </row>
    <row r="22" spans="1:10" x14ac:dyDescent="0.2">
      <c r="A22" s="9" t="s">
        <v>47</v>
      </c>
      <c r="B22" s="9">
        <f>COUNTIF(Gantt!$G:$G,"On hold")</f>
        <v>4</v>
      </c>
    </row>
    <row r="23" spans="1:10" x14ac:dyDescent="0.2">
      <c r="A23" s="9" t="s">
        <v>53</v>
      </c>
      <c r="B23" s="9">
        <f>COUNTIF(Gantt!$G:$G,"Not started")</f>
        <v>2</v>
      </c>
    </row>
    <row r="25" spans="1:10" ht="48" customHeight="1" x14ac:dyDescent="0.2">
      <c r="A25" s="12" t="s">
        <v>54</v>
      </c>
      <c r="B25" s="12" t="s">
        <v>55</v>
      </c>
      <c r="C25" s="12" t="s">
        <v>56</v>
      </c>
      <c r="D25" s="12" t="s">
        <v>57</v>
      </c>
      <c r="E25" s="12" t="s">
        <v>58</v>
      </c>
      <c r="F25" s="12" t="s">
        <v>59</v>
      </c>
      <c r="G25" s="12" t="s">
        <v>60</v>
      </c>
      <c r="H25" s="12" t="s">
        <v>61</v>
      </c>
      <c r="I25" s="12" t="s">
        <v>62</v>
      </c>
      <c r="J25" s="12" t="s">
        <v>63</v>
      </c>
    </row>
    <row r="26" spans="1:10" x14ac:dyDescent="0.2">
      <c r="A26" s="13" t="str">
        <f>Sites!A2&amp;" "&amp;Sites!B2</f>
        <v>S01 Northfield General Hospital</v>
      </c>
      <c r="B26" s="11">
        <f>Sites!K2</f>
        <v>1</v>
      </c>
      <c r="C26" s="13">
        <f>Sites!M2</f>
        <v>0</v>
      </c>
      <c r="D26" s="13">
        <f>Sites!L2</f>
        <v>1</v>
      </c>
      <c r="E26" s="13">
        <f>Sites!N2</f>
        <v>0</v>
      </c>
      <c r="F26" s="13">
        <f>Sites!H2</f>
        <v>-4</v>
      </c>
      <c r="G26" s="14">
        <f>SUMIFS(Payments!$D:$D,Payments!$B:$B,Sites!A2)</f>
        <v>7500</v>
      </c>
      <c r="H26" s="14">
        <f>SUMIFS(Payments!$F:$F,Payments!$B:$B,Sites!A2)</f>
        <v>7650</v>
      </c>
      <c r="I26" s="14">
        <f>SUMIFS(Payments!$F:$F,Payments!$B:$B,Sites!A2,Payments!$G:$G,"Paid")</f>
        <v>5850</v>
      </c>
      <c r="J26" s="14">
        <f>H26-I26</f>
        <v>1800</v>
      </c>
    </row>
    <row r="27" spans="1:10" x14ac:dyDescent="0.2">
      <c r="A27" s="13" t="str">
        <f>Sites!A3&amp;" "&amp;Sites!B3</f>
        <v>S02 Riverside University Hospital</v>
      </c>
      <c r="B27" s="11">
        <f>Sites!K3</f>
        <v>1</v>
      </c>
      <c r="C27" s="13">
        <f>Sites!M3</f>
        <v>1</v>
      </c>
      <c r="D27" s="13">
        <f>Sites!L3</f>
        <v>1</v>
      </c>
      <c r="E27" s="13">
        <f>Sites!N3</f>
        <v>0</v>
      </c>
      <c r="F27" s="13">
        <f>Sites!H3</f>
        <v>8</v>
      </c>
      <c r="G27" s="14">
        <f>SUMIFS(Payments!$D:$D,Payments!$B:$B,Sites!A3)</f>
        <v>7500</v>
      </c>
      <c r="H27" s="14">
        <f>SUMIFS(Payments!$F:$F,Payments!$B:$B,Sites!A3)</f>
        <v>5700</v>
      </c>
      <c r="I27" s="14">
        <f>SUMIFS(Payments!$F:$F,Payments!$B:$B,Sites!A3,Payments!$G:$G,"Paid")</f>
        <v>0</v>
      </c>
      <c r="J27" s="14">
        <f>H27-I27</f>
        <v>5700</v>
      </c>
    </row>
    <row r="28" spans="1:10" x14ac:dyDescent="0.2">
      <c r="A28" s="13" t="str">
        <f>Sites!A4&amp;" "&amp;Sites!B4</f>
        <v>S03 Ashdown Royal Infirmary</v>
      </c>
      <c r="B28" s="11">
        <f>Sites!K4</f>
        <v>0.6</v>
      </c>
      <c r="C28" s="13">
        <f>Sites!M4</f>
        <v>2</v>
      </c>
      <c r="D28" s="13">
        <f>Sites!L4</f>
        <v>2</v>
      </c>
      <c r="E28" s="13">
        <f>Sites!N4</f>
        <v>2</v>
      </c>
      <c r="F28" s="13" t="str">
        <f>Sites!H4</f>
        <v/>
      </c>
      <c r="G28" s="14">
        <f>SUMIFS(Payments!$D:$D,Payments!$B:$B,Sites!A4)</f>
        <v>7500</v>
      </c>
      <c r="H28" s="14">
        <f>SUMIFS(Payments!$F:$F,Payments!$B:$B,Sites!A4)</f>
        <v>0</v>
      </c>
      <c r="I28" s="14">
        <f>SUMIFS(Payments!$F:$F,Payments!$B:$B,Sites!A4,Payments!$G:$G,"Paid")</f>
        <v>0</v>
      </c>
      <c r="J28" s="14">
        <f>H28-I28</f>
        <v>0</v>
      </c>
    </row>
    <row r="29" spans="1:10" x14ac:dyDescent="0.2">
      <c r="A29" s="13" t="str">
        <f>Sites!A5&amp;" "&amp;Sites!B5</f>
        <v>S04 St Wilfrid's Cancer Centre</v>
      </c>
      <c r="B29" s="11">
        <f>Sites!K5</f>
        <v>0.3</v>
      </c>
      <c r="C29" s="13">
        <f>Sites!M5</f>
        <v>5</v>
      </c>
      <c r="D29" s="13">
        <f>Sites!L5</f>
        <v>2</v>
      </c>
      <c r="E29" s="13">
        <f>Sites!N5</f>
        <v>1</v>
      </c>
      <c r="F29" s="13" t="str">
        <f>Sites!H5</f>
        <v/>
      </c>
      <c r="G29" s="14">
        <f>SUMIFS(Payments!$D:$D,Payments!$B:$B,Sites!A5)</f>
        <v>7500</v>
      </c>
      <c r="H29" s="14">
        <f>SUMIFS(Payments!$F:$F,Payments!$B:$B,Sites!A5)</f>
        <v>0</v>
      </c>
      <c r="I29" s="14">
        <f>SUMIFS(Payments!$F:$F,Payments!$B:$B,Sites!A5,Payments!$G:$G,"Paid")</f>
        <v>0</v>
      </c>
      <c r="J29" s="14">
        <f>H29-I29</f>
        <v>0</v>
      </c>
    </row>
    <row r="30" spans="1:10" x14ac:dyDescent="0.2">
      <c r="A30" s="13" t="str">
        <f>Sites!A6&amp;" "&amp;Sites!B6</f>
        <v>S05 Castlebrook Hospital</v>
      </c>
      <c r="B30" s="11">
        <f>Sites!K6</f>
        <v>0.4</v>
      </c>
      <c r="C30" s="13">
        <f>Sites!M6</f>
        <v>4</v>
      </c>
      <c r="D30" s="13">
        <f>Sites!L6</f>
        <v>4</v>
      </c>
      <c r="E30" s="13">
        <f>Sites!N6</f>
        <v>0</v>
      </c>
      <c r="F30" s="13" t="str">
        <f>Sites!H6</f>
        <v/>
      </c>
      <c r="G30" s="14">
        <f>SUMIFS(Payments!$D:$D,Payments!$B:$B,Sites!A6)</f>
        <v>7500</v>
      </c>
      <c r="H30" s="14">
        <f>SUMIFS(Payments!$F:$F,Payments!$B:$B,Sites!A6)</f>
        <v>0</v>
      </c>
      <c r="I30" s="14">
        <f>SUMIFS(Payments!$F:$F,Payments!$B:$B,Sites!A6,Payments!$G:$G,"Paid")</f>
        <v>0</v>
      </c>
      <c r="J30" s="14">
        <f>H30-I30</f>
        <v>0</v>
      </c>
    </row>
    <row r="31" spans="1:10" x14ac:dyDescent="0.2">
      <c r="A31" s="6" t="s">
        <v>64</v>
      </c>
      <c r="C31" s="10">
        <f>SUM(C26:C30)</f>
        <v>12</v>
      </c>
      <c r="D31" s="10">
        <f>SUM(D26:D30)</f>
        <v>10</v>
      </c>
      <c r="E31" s="10">
        <f>SUM(E26:E30)</f>
        <v>3</v>
      </c>
      <c r="G31" s="15">
        <f>SUM(G26:G30)</f>
        <v>37500</v>
      </c>
      <c r="H31" s="15">
        <f>SUM(H26:H30)</f>
        <v>13350</v>
      </c>
      <c r="I31" s="15">
        <f>SUM(I26:I30)</f>
        <v>5850</v>
      </c>
      <c r="J31" s="15">
        <f>SUM(J26:J30)</f>
        <v>7500</v>
      </c>
    </row>
  </sheetData>
  <conditionalFormatting sqref="C26:E30">
    <cfRule type="cellIs" dxfId="31" priority="3" operator="greaterThan">
      <formula>0</formula>
    </cfRule>
  </conditionalFormatting>
  <conditionalFormatting sqref="F26:F30">
    <cfRule type="expression" dxfId="30" priority="2">
      <formula>AND(ISNUMBER(F26),F26&gt;0)</formula>
    </cfRule>
  </conditionalFormatting>
  <pageMargins left="0.75" right="0.75" top="1" bottom="1" header="0.511811023622047" footer="0.511811023622047"/>
  <pageSetup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zoomScaleNormal="100" workbookViewId="0"/>
  </sheetViews>
  <sheetFormatPr baseColWidth="10" defaultColWidth="8.6640625" defaultRowHeight="15" x14ac:dyDescent="0.2"/>
  <cols>
    <col min="1" max="1" width="30" customWidth="1"/>
    <col min="2" max="2" width="20" customWidth="1"/>
    <col min="3" max="3" width="80" customWidth="1"/>
  </cols>
  <sheetData>
    <row r="1" spans="1:3" ht="18" x14ac:dyDescent="0.2">
      <c r="A1" s="5" t="s">
        <v>65</v>
      </c>
    </row>
    <row r="3" spans="1:3" x14ac:dyDescent="0.2">
      <c r="A3" s="6" t="s">
        <v>24</v>
      </c>
      <c r="B3" s="16">
        <v>46304</v>
      </c>
      <c r="C3" s="17" t="s">
        <v>66</v>
      </c>
    </row>
    <row r="4" spans="1:3" x14ac:dyDescent="0.2">
      <c r="A4" s="6" t="s">
        <v>67</v>
      </c>
      <c r="B4" s="18">
        <v>60</v>
      </c>
      <c r="C4" s="17" t="s">
        <v>68</v>
      </c>
    </row>
    <row r="5" spans="1:3" x14ac:dyDescent="0.2">
      <c r="A5" s="6" t="s">
        <v>69</v>
      </c>
      <c r="B5" s="18" t="s">
        <v>70</v>
      </c>
      <c r="C5" s="17" t="s">
        <v>71</v>
      </c>
    </row>
    <row r="6" spans="1:3" x14ac:dyDescent="0.2">
      <c r="A6" s="6" t="s">
        <v>72</v>
      </c>
      <c r="B6" s="18">
        <v>7</v>
      </c>
      <c r="C6" s="17" t="s">
        <v>73</v>
      </c>
    </row>
    <row r="7" spans="1:3" x14ac:dyDescent="0.2">
      <c r="A7" s="6" t="s">
        <v>74</v>
      </c>
      <c r="B7" s="18">
        <v>7</v>
      </c>
      <c r="C7" s="17" t="s">
        <v>75</v>
      </c>
    </row>
    <row r="8" spans="1:3" x14ac:dyDescent="0.2">
      <c r="A8" s="6" t="s">
        <v>76</v>
      </c>
      <c r="B8" s="18">
        <v>30</v>
      </c>
      <c r="C8" s="17" t="s">
        <v>77</v>
      </c>
    </row>
    <row r="11" spans="1:3" x14ac:dyDescent="0.2">
      <c r="A11" s="8" t="s">
        <v>78</v>
      </c>
      <c r="B11" s="8" t="s">
        <v>79</v>
      </c>
      <c r="C11" s="8" t="s">
        <v>80</v>
      </c>
    </row>
    <row r="12" spans="1:3" x14ac:dyDescent="0.2">
      <c r="A12" s="19" t="s">
        <v>53</v>
      </c>
      <c r="B12" s="19" t="s">
        <v>42</v>
      </c>
      <c r="C12" s="19" t="s">
        <v>81</v>
      </c>
    </row>
    <row r="13" spans="1:3" x14ac:dyDescent="0.2">
      <c r="A13" s="19" t="s">
        <v>82</v>
      </c>
      <c r="B13" s="19" t="s">
        <v>44</v>
      </c>
      <c r="C13" s="19" t="s">
        <v>83</v>
      </c>
    </row>
    <row r="14" spans="1:3" x14ac:dyDescent="0.2">
      <c r="A14" s="19" t="s">
        <v>84</v>
      </c>
      <c r="B14" s="19" t="s">
        <v>45</v>
      </c>
      <c r="C14" s="19" t="s">
        <v>85</v>
      </c>
    </row>
    <row r="15" spans="1:3" x14ac:dyDescent="0.2">
      <c r="A15" s="19" t="s">
        <v>86</v>
      </c>
      <c r="B15" s="19" t="s">
        <v>47</v>
      </c>
      <c r="C15" s="19" t="s">
        <v>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8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9" customWidth="1"/>
    <col min="2" max="2" width="30" customWidth="1"/>
    <col min="3" max="3" width="22" customWidth="1"/>
    <col min="4" max="5" width="14" customWidth="1"/>
    <col min="6" max="7" width="15" customWidth="1"/>
    <col min="8" max="8" width="10" customWidth="1"/>
    <col min="9" max="10" width="12" customWidth="1"/>
    <col min="11" max="11" width="9" customWidth="1"/>
    <col min="12" max="12" width="18" customWidth="1"/>
    <col min="13" max="13" width="12" customWidth="1"/>
    <col min="14" max="14" width="10" customWidth="1"/>
  </cols>
  <sheetData>
    <row r="1" spans="1:14" ht="45" customHeight="1" x14ac:dyDescent="0.2">
      <c r="A1" s="20" t="s">
        <v>88</v>
      </c>
      <c r="B1" s="20" t="s">
        <v>89</v>
      </c>
      <c r="C1" s="20" t="s">
        <v>90</v>
      </c>
      <c r="D1" s="20" t="s">
        <v>91</v>
      </c>
      <c r="E1" s="20" t="s">
        <v>40</v>
      </c>
      <c r="F1" s="20" t="s">
        <v>92</v>
      </c>
      <c r="G1" s="20" t="s">
        <v>93</v>
      </c>
      <c r="H1" s="20" t="s">
        <v>59</v>
      </c>
      <c r="I1" s="20" t="s">
        <v>94</v>
      </c>
      <c r="J1" s="20" t="s">
        <v>95</v>
      </c>
      <c r="K1" s="20" t="s">
        <v>96</v>
      </c>
      <c r="L1" s="20" t="s">
        <v>97</v>
      </c>
      <c r="M1" s="20" t="s">
        <v>56</v>
      </c>
      <c r="N1" s="20" t="s">
        <v>58</v>
      </c>
    </row>
    <row r="2" spans="1:14" x14ac:dyDescent="0.2">
      <c r="A2" s="21" t="s">
        <v>98</v>
      </c>
      <c r="B2" s="21" t="s">
        <v>99</v>
      </c>
      <c r="C2" s="21" t="s">
        <v>100</v>
      </c>
      <c r="D2" s="21" t="s">
        <v>101</v>
      </c>
      <c r="E2" s="21" t="s">
        <v>45</v>
      </c>
      <c r="F2" s="22">
        <v>46237</v>
      </c>
      <c r="G2" s="22">
        <v>46233</v>
      </c>
      <c r="H2" s="23">
        <f>IF(G2="","",G2-F2)</f>
        <v>-4</v>
      </c>
      <c r="I2" s="24">
        <f>COUNTIF(Documents!$B:$B,A2)</f>
        <v>10</v>
      </c>
      <c r="J2" s="24">
        <f>COUNTIFS(Documents!$B:$B,A2,Documents!$E:$E,"Filed in eTMF")</f>
        <v>10</v>
      </c>
      <c r="K2" s="25">
        <f>IF(I2=0,0,J2/I2)</f>
        <v>1</v>
      </c>
      <c r="L2" s="24">
        <f>COUNTIFS(Documents!$B:$B,A2,Documents!$J:$J,"Expired")+COUNTIFS(Documents!$B:$B,A2,Documents!$J:$J,"Expiring soon")+COUNTIFS(Documents!$B:$B,A2,Documents!$J:$J,"Missing")</f>
        <v>1</v>
      </c>
      <c r="M2" s="24">
        <f>COUNTIFS(Documents!$B:$B,A2,Documents!$D:$D,"Y",Documents!$E:$E,"&lt;&gt;Filed in eTMF")+COUNTIFS(Documents!$B:$B,A2,Documents!$D:$D,"Y",Documents!$J:$J,"Expired")</f>
        <v>0</v>
      </c>
      <c r="N2" s="24">
        <f>COUNTIFS(Documents!$B:$B,A2,Documents!$R:$R,"Overdue")</f>
        <v>0</v>
      </c>
    </row>
    <row r="3" spans="1:14" x14ac:dyDescent="0.2">
      <c r="A3" s="21" t="s">
        <v>102</v>
      </c>
      <c r="B3" s="21" t="s">
        <v>103</v>
      </c>
      <c r="C3" s="21" t="s">
        <v>104</v>
      </c>
      <c r="D3" s="21" t="s">
        <v>105</v>
      </c>
      <c r="E3" s="21" t="s">
        <v>44</v>
      </c>
      <c r="F3" s="22">
        <v>46279</v>
      </c>
      <c r="G3" s="22">
        <v>46287</v>
      </c>
      <c r="H3" s="23">
        <f>IF(G3="","",G3-F3)</f>
        <v>8</v>
      </c>
      <c r="I3" s="24">
        <f>COUNTIF(Documents!$B:$B,A3)</f>
        <v>10</v>
      </c>
      <c r="J3" s="24">
        <f>COUNTIFS(Documents!$B:$B,A3,Documents!$E:$E,"Filed in eTMF")</f>
        <v>10</v>
      </c>
      <c r="K3" s="25">
        <f>IF(I3=0,0,J3/I3)</f>
        <v>1</v>
      </c>
      <c r="L3" s="24">
        <f>COUNTIFS(Documents!$B:$B,A3,Documents!$J:$J,"Expired")+COUNTIFS(Documents!$B:$B,A3,Documents!$J:$J,"Expiring soon")+COUNTIFS(Documents!$B:$B,A3,Documents!$J:$J,"Missing")</f>
        <v>1</v>
      </c>
      <c r="M3" s="24">
        <f>COUNTIFS(Documents!$B:$B,A3,Documents!$D:$D,"Y",Documents!$E:$E,"&lt;&gt;Filed in eTMF")+COUNTIFS(Documents!$B:$B,A3,Documents!$D:$D,"Y",Documents!$J:$J,"Expired")</f>
        <v>1</v>
      </c>
      <c r="N3" s="24">
        <f>COUNTIFS(Documents!$B:$B,A3,Documents!$R:$R,"Overdue")</f>
        <v>0</v>
      </c>
    </row>
    <row r="4" spans="1:14" x14ac:dyDescent="0.2">
      <c r="A4" s="21" t="s">
        <v>106</v>
      </c>
      <c r="B4" s="21" t="s">
        <v>107</v>
      </c>
      <c r="C4" s="21" t="s">
        <v>108</v>
      </c>
      <c r="D4" s="21" t="s">
        <v>109</v>
      </c>
      <c r="E4" s="21" t="s">
        <v>42</v>
      </c>
      <c r="F4" s="22">
        <v>46321</v>
      </c>
      <c r="G4" s="22"/>
      <c r="H4" s="23" t="str">
        <f>IF(G4="","",G4-F4)</f>
        <v/>
      </c>
      <c r="I4" s="24">
        <f>COUNTIF(Documents!$B:$B,A4)</f>
        <v>10</v>
      </c>
      <c r="J4" s="24">
        <f>COUNTIFS(Documents!$B:$B,A4,Documents!$E:$E,"Filed in eTMF")</f>
        <v>6</v>
      </c>
      <c r="K4" s="25">
        <f>IF(I4=0,0,J4/I4)</f>
        <v>0.6</v>
      </c>
      <c r="L4" s="24">
        <f>COUNTIFS(Documents!$B:$B,A4,Documents!$J:$J,"Expired")+COUNTIFS(Documents!$B:$B,A4,Documents!$J:$J,"Expiring soon")+COUNTIFS(Documents!$B:$B,A4,Documents!$J:$J,"Missing")</f>
        <v>2</v>
      </c>
      <c r="M4" s="24">
        <f>COUNTIFS(Documents!$B:$B,A4,Documents!$D:$D,"Y",Documents!$E:$E,"&lt;&gt;Filed in eTMF")+COUNTIFS(Documents!$B:$B,A4,Documents!$D:$D,"Y",Documents!$J:$J,"Expired")</f>
        <v>2</v>
      </c>
      <c r="N4" s="24">
        <f>COUNTIFS(Documents!$B:$B,A4,Documents!$R:$R,"Overdue")</f>
        <v>2</v>
      </c>
    </row>
    <row r="5" spans="1:14" x14ac:dyDescent="0.2">
      <c r="A5" s="21" t="s">
        <v>110</v>
      </c>
      <c r="B5" s="21" t="s">
        <v>111</v>
      </c>
      <c r="C5" s="21" t="s">
        <v>112</v>
      </c>
      <c r="D5" s="21" t="s">
        <v>113</v>
      </c>
      <c r="E5" s="21" t="s">
        <v>42</v>
      </c>
      <c r="F5" s="22">
        <v>46335</v>
      </c>
      <c r="G5" s="22"/>
      <c r="H5" s="23" t="str">
        <f>IF(G5="","",G5-F5)</f>
        <v/>
      </c>
      <c r="I5" s="24">
        <f>COUNTIF(Documents!$B:$B,A5)</f>
        <v>10</v>
      </c>
      <c r="J5" s="24">
        <f>COUNTIFS(Documents!$B:$B,A5,Documents!$E:$E,"Filed in eTMF")</f>
        <v>3</v>
      </c>
      <c r="K5" s="25">
        <f>IF(I5=0,0,J5/I5)</f>
        <v>0.3</v>
      </c>
      <c r="L5" s="24">
        <f>COUNTIFS(Documents!$B:$B,A5,Documents!$J:$J,"Expired")+COUNTIFS(Documents!$B:$B,A5,Documents!$J:$J,"Expiring soon")+COUNTIFS(Documents!$B:$B,A5,Documents!$J:$J,"Missing")</f>
        <v>2</v>
      </c>
      <c r="M5" s="24">
        <f>COUNTIFS(Documents!$B:$B,A5,Documents!$D:$D,"Y",Documents!$E:$E,"&lt;&gt;Filed in eTMF")+COUNTIFS(Documents!$B:$B,A5,Documents!$D:$D,"Y",Documents!$J:$J,"Expired")</f>
        <v>5</v>
      </c>
      <c r="N5" s="24">
        <f>COUNTIFS(Documents!$B:$B,A5,Documents!$R:$R,"Overdue")</f>
        <v>1</v>
      </c>
    </row>
    <row r="6" spans="1:14" x14ac:dyDescent="0.2">
      <c r="A6" s="21" t="s">
        <v>114</v>
      </c>
      <c r="B6" s="21" t="s">
        <v>115</v>
      </c>
      <c r="C6" s="21" t="s">
        <v>116</v>
      </c>
      <c r="D6" s="21" t="s">
        <v>117</v>
      </c>
      <c r="E6" s="21" t="s">
        <v>47</v>
      </c>
      <c r="F6" s="22">
        <v>46307</v>
      </c>
      <c r="G6" s="22"/>
      <c r="H6" s="23" t="str">
        <f>IF(G6="","",G6-F6)</f>
        <v/>
      </c>
      <c r="I6" s="24">
        <f>COUNTIF(Documents!$B:$B,A6)</f>
        <v>10</v>
      </c>
      <c r="J6" s="24">
        <f>COUNTIFS(Documents!$B:$B,A6,Documents!$E:$E,"Filed in eTMF")</f>
        <v>4</v>
      </c>
      <c r="K6" s="25">
        <f>IF(I6=0,0,J6/I6)</f>
        <v>0.4</v>
      </c>
      <c r="L6" s="24">
        <f>COUNTIFS(Documents!$B:$B,A6,Documents!$J:$J,"Expired")+COUNTIFS(Documents!$B:$B,A6,Documents!$J:$J,"Expiring soon")+COUNTIFS(Documents!$B:$B,A6,Documents!$J:$J,"Missing")</f>
        <v>4</v>
      </c>
      <c r="M6" s="24">
        <f>COUNTIFS(Documents!$B:$B,A6,Documents!$D:$D,"Y",Documents!$E:$E,"&lt;&gt;Filed in eTMF")+COUNTIFS(Documents!$B:$B,A6,Documents!$D:$D,"Y",Documents!$J:$J,"Expired")</f>
        <v>4</v>
      </c>
      <c r="N6" s="24">
        <f>COUNTIFS(Documents!$B:$B,A6,Documents!$R:$R,"Overdue")</f>
        <v>0</v>
      </c>
    </row>
    <row r="8" spans="1:14" x14ac:dyDescent="0.2">
      <c r="A8" s="17" t="s">
        <v>118</v>
      </c>
    </row>
  </sheetData>
  <autoFilter ref="A1:N6" xr:uid="{00000000-0009-0000-0000-000003000000}"/>
  <conditionalFormatting sqref="H2:H50">
    <cfRule type="cellIs" dxfId="29" priority="2" operator="greaterThan">
      <formula>0</formula>
    </cfRule>
  </conditionalFormatting>
  <conditionalFormatting sqref="M2:N50">
    <cfRule type="cellIs" dxfId="28" priority="3" operator="greaterThan">
      <formula>0</formula>
    </cfRule>
  </conditionalFormatting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Settings!$B$12:$B$15</xm:f>
          </x14:formula1>
          <x14:formula2>
            <xm:f>0</xm:f>
          </x14:formula2>
          <xm:sqref>E2:E50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U43"/>
  <sheetViews>
    <sheetView zoomScaleNormal="100" workbookViewId="0">
      <pane xSplit="10" ySplit="2" topLeftCell="K23" activePane="bottomRight" state="frozen"/>
      <selection pane="topRight" activeCell="K1" sqref="K1"/>
      <selection pane="bottomLeft" activeCell="A3" sqref="A3"/>
      <selection pane="bottomRight" activeCell="A46" sqref="A46"/>
    </sheetView>
  </sheetViews>
  <sheetFormatPr baseColWidth="10" defaultColWidth="8.6640625" defaultRowHeight="15" x14ac:dyDescent="0.2"/>
  <cols>
    <col min="1" max="1" width="8" customWidth="1"/>
    <col min="2" max="2" width="38" customWidth="1"/>
    <col min="3" max="6" width="14" customWidth="1"/>
    <col min="7" max="7" width="12" customWidth="1"/>
    <col min="8" max="8" width="9" customWidth="1"/>
    <col min="9" max="10" width="14" customWidth="1"/>
    <col min="11" max="47" width="3.1640625" customWidth="1"/>
  </cols>
  <sheetData>
    <row r="1" spans="1:47" ht="18" x14ac:dyDescent="0.2">
      <c r="A1" s="5" t="s">
        <v>119</v>
      </c>
    </row>
    <row r="2" spans="1:47" ht="51.75" customHeight="1" x14ac:dyDescent="0.2">
      <c r="A2" s="20" t="s">
        <v>88</v>
      </c>
      <c r="B2" s="20" t="s">
        <v>120</v>
      </c>
      <c r="C2" s="20" t="s">
        <v>121</v>
      </c>
      <c r="D2" s="20" t="s">
        <v>122</v>
      </c>
      <c r="E2" s="20" t="s">
        <v>123</v>
      </c>
      <c r="F2" s="20" t="s">
        <v>124</v>
      </c>
      <c r="G2" s="20" t="s">
        <v>125</v>
      </c>
      <c r="H2" s="20" t="s">
        <v>126</v>
      </c>
      <c r="I2" s="20" t="s">
        <v>127</v>
      </c>
      <c r="J2" s="20" t="s">
        <v>128</v>
      </c>
      <c r="K2" s="26">
        <v>46125</v>
      </c>
      <c r="L2" s="27">
        <f t="shared" ref="L2:AU2" si="0">K2+7</f>
        <v>46132</v>
      </c>
      <c r="M2" s="27">
        <f t="shared" si="0"/>
        <v>46139</v>
      </c>
      <c r="N2" s="27">
        <f t="shared" si="0"/>
        <v>46146</v>
      </c>
      <c r="O2" s="27">
        <f t="shared" si="0"/>
        <v>46153</v>
      </c>
      <c r="P2" s="27">
        <f t="shared" si="0"/>
        <v>46160</v>
      </c>
      <c r="Q2" s="27">
        <f t="shared" si="0"/>
        <v>46167</v>
      </c>
      <c r="R2" s="27">
        <f t="shared" si="0"/>
        <v>46174</v>
      </c>
      <c r="S2" s="27">
        <f t="shared" si="0"/>
        <v>46181</v>
      </c>
      <c r="T2" s="27">
        <f t="shared" si="0"/>
        <v>46188</v>
      </c>
      <c r="U2" s="27">
        <f t="shared" si="0"/>
        <v>46195</v>
      </c>
      <c r="V2" s="27">
        <f t="shared" si="0"/>
        <v>46202</v>
      </c>
      <c r="W2" s="27">
        <f t="shared" si="0"/>
        <v>46209</v>
      </c>
      <c r="X2" s="27">
        <f t="shared" si="0"/>
        <v>46216</v>
      </c>
      <c r="Y2" s="27">
        <f t="shared" si="0"/>
        <v>46223</v>
      </c>
      <c r="Z2" s="27">
        <f t="shared" si="0"/>
        <v>46230</v>
      </c>
      <c r="AA2" s="27">
        <f t="shared" si="0"/>
        <v>46237</v>
      </c>
      <c r="AB2" s="27">
        <f t="shared" si="0"/>
        <v>46244</v>
      </c>
      <c r="AC2" s="27">
        <f t="shared" si="0"/>
        <v>46251</v>
      </c>
      <c r="AD2" s="27">
        <f t="shared" si="0"/>
        <v>46258</v>
      </c>
      <c r="AE2" s="27">
        <f t="shared" si="0"/>
        <v>46265</v>
      </c>
      <c r="AF2" s="27">
        <f t="shared" si="0"/>
        <v>46272</v>
      </c>
      <c r="AG2" s="27">
        <f t="shared" si="0"/>
        <v>46279</v>
      </c>
      <c r="AH2" s="27">
        <f t="shared" si="0"/>
        <v>46286</v>
      </c>
      <c r="AI2" s="27">
        <f t="shared" si="0"/>
        <v>46293</v>
      </c>
      <c r="AJ2" s="27">
        <f t="shared" si="0"/>
        <v>46300</v>
      </c>
      <c r="AK2" s="27">
        <f t="shared" si="0"/>
        <v>46307</v>
      </c>
      <c r="AL2" s="27">
        <f t="shared" si="0"/>
        <v>46314</v>
      </c>
      <c r="AM2" s="27">
        <f t="shared" si="0"/>
        <v>46321</v>
      </c>
      <c r="AN2" s="27">
        <f t="shared" si="0"/>
        <v>46328</v>
      </c>
      <c r="AO2" s="27">
        <f t="shared" si="0"/>
        <v>46335</v>
      </c>
      <c r="AP2" s="27">
        <f t="shared" si="0"/>
        <v>46342</v>
      </c>
      <c r="AQ2" s="27">
        <f t="shared" si="0"/>
        <v>46349</v>
      </c>
      <c r="AR2" s="27">
        <f t="shared" si="0"/>
        <v>46356</v>
      </c>
      <c r="AS2" s="27">
        <f t="shared" si="0"/>
        <v>46363</v>
      </c>
      <c r="AT2" s="27">
        <f t="shared" si="0"/>
        <v>46370</v>
      </c>
      <c r="AU2" s="27">
        <f t="shared" si="0"/>
        <v>46377</v>
      </c>
    </row>
    <row r="3" spans="1:47" x14ac:dyDescent="0.2">
      <c r="A3" s="28" t="s">
        <v>98</v>
      </c>
      <c r="B3" s="28" t="s">
        <v>129</v>
      </c>
      <c r="C3" s="29">
        <v>46125</v>
      </c>
      <c r="D3" s="29">
        <v>46153</v>
      </c>
      <c r="E3" s="29">
        <v>46125</v>
      </c>
      <c r="F3" s="29">
        <v>46153</v>
      </c>
      <c r="G3" s="9" t="str">
        <f>IF(F3&lt;&gt;"","Complete",IF(INDEX(Sites!$E$2:$E$6,MATCH($A3,Sites!$A$2:$A$6,0))="On hold","On hold",IF(D3&lt;Settings!$B$3,"Late",IF(E3&lt;&gt;"","In progress","Not started"))))</f>
        <v>Complete</v>
      </c>
      <c r="H3" s="9">
        <f>IF(F3&lt;&gt;"",F3-D3,IF(G3="Late",Settings!$B$3-D3,""))</f>
        <v>0</v>
      </c>
      <c r="I3" s="30">
        <f t="shared" ref="I3:I27" si="1">IF(E3&lt;&gt;"",E3,C3)</f>
        <v>46125</v>
      </c>
      <c r="J3" s="30">
        <f t="shared" ref="J3:J27" si="2">IF(F3&lt;&gt;"",F3,D3)</f>
        <v>46153</v>
      </c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</row>
    <row r="4" spans="1:47" x14ac:dyDescent="0.2">
      <c r="A4" s="28" t="s">
        <v>98</v>
      </c>
      <c r="B4" s="28" t="s">
        <v>130</v>
      </c>
      <c r="C4" s="29">
        <v>46153</v>
      </c>
      <c r="D4" s="29">
        <v>46209</v>
      </c>
      <c r="E4" s="29">
        <v>46153</v>
      </c>
      <c r="F4" s="29">
        <v>46202</v>
      </c>
      <c r="G4" s="9" t="str">
        <f>IF(F4&lt;&gt;"","Complete",IF(INDEX(Sites!$E$2:$E$6,MATCH($A4,Sites!$A$2:$A$6,0))="On hold","On hold",IF(D4&lt;Settings!$B$3,"Late",IF(E4&lt;&gt;"","In progress","Not started"))))</f>
        <v>Complete</v>
      </c>
      <c r="H4" s="9">
        <f>IF(F4&lt;&gt;"",F4-D4,IF(G4="Late",Settings!$B$3-D4,""))</f>
        <v>-7</v>
      </c>
      <c r="I4" s="30">
        <f t="shared" si="1"/>
        <v>46153</v>
      </c>
      <c r="J4" s="30">
        <f t="shared" si="2"/>
        <v>46202</v>
      </c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</row>
    <row r="5" spans="1:47" x14ac:dyDescent="0.2">
      <c r="A5" s="28" t="s">
        <v>98</v>
      </c>
      <c r="B5" s="28" t="s">
        <v>131</v>
      </c>
      <c r="C5" s="29">
        <v>46153</v>
      </c>
      <c r="D5" s="29">
        <v>46202</v>
      </c>
      <c r="E5" s="29">
        <v>46153</v>
      </c>
      <c r="F5" s="29">
        <v>46199</v>
      </c>
      <c r="G5" s="9" t="str">
        <f>IF(F5&lt;&gt;"","Complete",IF(INDEX(Sites!$E$2:$E$6,MATCH($A5,Sites!$A$2:$A$6,0))="On hold","On hold",IF(D5&lt;Settings!$B$3,"Late",IF(E5&lt;&gt;"","In progress","Not started"))))</f>
        <v>Complete</v>
      </c>
      <c r="H5" s="9">
        <f>IF(F5&lt;&gt;"",F5-D5,IF(G5="Late",Settings!$B$3-D5,""))</f>
        <v>-3</v>
      </c>
      <c r="I5" s="30">
        <f t="shared" si="1"/>
        <v>46153</v>
      </c>
      <c r="J5" s="30">
        <f t="shared" si="2"/>
        <v>46199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</row>
    <row r="6" spans="1:47" x14ac:dyDescent="0.2">
      <c r="A6" s="28" t="s">
        <v>98</v>
      </c>
      <c r="B6" s="28" t="s">
        <v>132</v>
      </c>
      <c r="C6" s="29">
        <v>46160</v>
      </c>
      <c r="D6" s="29">
        <v>46223</v>
      </c>
      <c r="E6" s="29">
        <v>46160</v>
      </c>
      <c r="F6" s="29">
        <v>46219</v>
      </c>
      <c r="G6" s="9" t="str">
        <f>IF(F6&lt;&gt;"","Complete",IF(INDEX(Sites!$E$2:$E$6,MATCH($A6,Sites!$A$2:$A$6,0))="On hold","On hold",IF(D6&lt;Settings!$B$3,"Late",IF(E6&lt;&gt;"","In progress","Not started"))))</f>
        <v>Complete</v>
      </c>
      <c r="H6" s="9">
        <f>IF(F6&lt;&gt;"",F6-D6,IF(G6="Late",Settings!$B$3-D6,""))</f>
        <v>-4</v>
      </c>
      <c r="I6" s="30">
        <f t="shared" si="1"/>
        <v>46160</v>
      </c>
      <c r="J6" s="30">
        <f t="shared" si="2"/>
        <v>46219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</row>
    <row r="7" spans="1:47" x14ac:dyDescent="0.2">
      <c r="A7" s="28" t="s">
        <v>98</v>
      </c>
      <c r="B7" s="28" t="s">
        <v>133</v>
      </c>
      <c r="C7" s="30">
        <f>D7-14</f>
        <v>46223</v>
      </c>
      <c r="D7" s="32">
        <f>Sites!F2</f>
        <v>46237</v>
      </c>
      <c r="E7" s="29">
        <v>46223</v>
      </c>
      <c r="F7" s="32">
        <f>IF(Sites!G2="","",Sites!G2)</f>
        <v>46233</v>
      </c>
      <c r="G7" s="9" t="str">
        <f>IF(F7&lt;&gt;"","Complete",IF(INDEX(Sites!$E$2:$E$6,MATCH($A7,Sites!$A$2:$A$6,0))="On hold","On hold",IF(D7&lt;Settings!$B$3,"Late",IF(E7&lt;&gt;"","In progress","Not started"))))</f>
        <v>Complete</v>
      </c>
      <c r="H7" s="9">
        <f>IF(F7&lt;&gt;"",F7-D7,IF(G7="Late",Settings!$B$3-D7,""))</f>
        <v>-4</v>
      </c>
      <c r="I7" s="30">
        <f t="shared" si="1"/>
        <v>46223</v>
      </c>
      <c r="J7" s="30">
        <f t="shared" si="2"/>
        <v>46233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</row>
    <row r="8" spans="1:47" x14ac:dyDescent="0.2">
      <c r="A8" s="28" t="s">
        <v>102</v>
      </c>
      <c r="B8" s="28" t="s">
        <v>129</v>
      </c>
      <c r="C8" s="29">
        <v>46167</v>
      </c>
      <c r="D8" s="29">
        <v>46195</v>
      </c>
      <c r="E8" s="29">
        <v>46167</v>
      </c>
      <c r="F8" s="29">
        <v>46195</v>
      </c>
      <c r="G8" s="9" t="str">
        <f>IF(F8&lt;&gt;"","Complete",IF(INDEX(Sites!$E$2:$E$6,MATCH($A8,Sites!$A$2:$A$6,0))="On hold","On hold",IF(D8&lt;Settings!$B$3,"Late",IF(E8&lt;&gt;"","In progress","Not started"))))</f>
        <v>Complete</v>
      </c>
      <c r="H8" s="9">
        <f>IF(F8&lt;&gt;"",F8-D8,IF(G8="Late",Settings!$B$3-D8,""))</f>
        <v>0</v>
      </c>
      <c r="I8" s="30">
        <f t="shared" si="1"/>
        <v>46167</v>
      </c>
      <c r="J8" s="30">
        <f t="shared" si="2"/>
        <v>46195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</row>
    <row r="9" spans="1:47" x14ac:dyDescent="0.2">
      <c r="A9" s="28" t="s">
        <v>102</v>
      </c>
      <c r="B9" s="28" t="s">
        <v>130</v>
      </c>
      <c r="C9" s="29">
        <v>46195</v>
      </c>
      <c r="D9" s="29">
        <v>46251</v>
      </c>
      <c r="E9" s="29">
        <v>46195</v>
      </c>
      <c r="F9" s="29">
        <v>46251</v>
      </c>
      <c r="G9" s="9" t="str">
        <f>IF(F9&lt;&gt;"","Complete",IF(INDEX(Sites!$E$2:$E$6,MATCH($A9,Sites!$A$2:$A$6,0))="On hold","On hold",IF(D9&lt;Settings!$B$3,"Late",IF(E9&lt;&gt;"","In progress","Not started"))))</f>
        <v>Complete</v>
      </c>
      <c r="H9" s="9">
        <f>IF(F9&lt;&gt;"",F9-D9,IF(G9="Late",Settings!$B$3-D9,""))</f>
        <v>0</v>
      </c>
      <c r="I9" s="30">
        <f t="shared" si="1"/>
        <v>46195</v>
      </c>
      <c r="J9" s="30">
        <f t="shared" si="2"/>
        <v>46251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</row>
    <row r="10" spans="1:47" x14ac:dyDescent="0.2">
      <c r="A10" s="28" t="s">
        <v>102</v>
      </c>
      <c r="B10" s="28" t="s">
        <v>131</v>
      </c>
      <c r="C10" s="29">
        <v>46195</v>
      </c>
      <c r="D10" s="29">
        <v>46244</v>
      </c>
      <c r="E10" s="29">
        <v>46195</v>
      </c>
      <c r="F10" s="29">
        <v>46248</v>
      </c>
      <c r="G10" s="9" t="str">
        <f>IF(F10&lt;&gt;"","Complete",IF(INDEX(Sites!$E$2:$E$6,MATCH($A10,Sites!$A$2:$A$6,0))="On hold","On hold",IF(D10&lt;Settings!$B$3,"Late",IF(E10&lt;&gt;"","In progress","Not started"))))</f>
        <v>Complete</v>
      </c>
      <c r="H10" s="9">
        <f>IF(F10&lt;&gt;"",F10-D10,IF(G10="Late",Settings!$B$3-D10,""))</f>
        <v>4</v>
      </c>
      <c r="I10" s="30">
        <f t="shared" si="1"/>
        <v>46195</v>
      </c>
      <c r="J10" s="30">
        <f t="shared" si="2"/>
        <v>46248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</row>
    <row r="11" spans="1:47" x14ac:dyDescent="0.2">
      <c r="A11" s="28" t="s">
        <v>102</v>
      </c>
      <c r="B11" s="28" t="s">
        <v>132</v>
      </c>
      <c r="C11" s="29">
        <v>46195</v>
      </c>
      <c r="D11" s="29">
        <v>46265</v>
      </c>
      <c r="E11" s="29">
        <v>46195</v>
      </c>
      <c r="F11" s="29">
        <v>46262</v>
      </c>
      <c r="G11" s="9" t="str">
        <f>IF(F11&lt;&gt;"","Complete",IF(INDEX(Sites!$E$2:$E$6,MATCH($A11,Sites!$A$2:$A$6,0))="On hold","On hold",IF(D11&lt;Settings!$B$3,"Late",IF(E11&lt;&gt;"","In progress","Not started"))))</f>
        <v>Complete</v>
      </c>
      <c r="H11" s="9">
        <f>IF(F11&lt;&gt;"",F11-D11,IF(G11="Late",Settings!$B$3-D11,""))</f>
        <v>-3</v>
      </c>
      <c r="I11" s="30">
        <f t="shared" si="1"/>
        <v>46195</v>
      </c>
      <c r="J11" s="30">
        <f t="shared" si="2"/>
        <v>46262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</row>
    <row r="12" spans="1:47" x14ac:dyDescent="0.2">
      <c r="A12" s="28" t="s">
        <v>102</v>
      </c>
      <c r="B12" s="28" t="s">
        <v>133</v>
      </c>
      <c r="C12" s="30">
        <f>D12-14</f>
        <v>46265</v>
      </c>
      <c r="D12" s="32">
        <f>Sites!F3</f>
        <v>46279</v>
      </c>
      <c r="E12" s="29">
        <v>46266</v>
      </c>
      <c r="F12" s="32">
        <f>IF(Sites!G3="","",Sites!G3)</f>
        <v>46287</v>
      </c>
      <c r="G12" s="9" t="str">
        <f>IF(F12&lt;&gt;"","Complete",IF(INDEX(Sites!$E$2:$E$6,MATCH($A12,Sites!$A$2:$A$6,0))="On hold","On hold",IF(D12&lt;Settings!$B$3,"Late",IF(E12&lt;&gt;"","In progress","Not started"))))</f>
        <v>Complete</v>
      </c>
      <c r="H12" s="9">
        <f>IF(F12&lt;&gt;"",F12-D12,IF(G12="Late",Settings!$B$3-D12,""))</f>
        <v>8</v>
      </c>
      <c r="I12" s="30">
        <f t="shared" si="1"/>
        <v>46266</v>
      </c>
      <c r="J12" s="30">
        <f t="shared" si="2"/>
        <v>46287</v>
      </c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</row>
    <row r="13" spans="1:47" x14ac:dyDescent="0.2">
      <c r="A13" s="28" t="s">
        <v>106</v>
      </c>
      <c r="B13" s="28" t="s">
        <v>129</v>
      </c>
      <c r="C13" s="29">
        <v>46209</v>
      </c>
      <c r="D13" s="29">
        <v>46237</v>
      </c>
      <c r="E13" s="29">
        <v>46209</v>
      </c>
      <c r="F13" s="29">
        <v>46237</v>
      </c>
      <c r="G13" s="9" t="str">
        <f>IF(F13&lt;&gt;"","Complete",IF(INDEX(Sites!$E$2:$E$6,MATCH($A13,Sites!$A$2:$A$6,0))="On hold","On hold",IF(D13&lt;Settings!$B$3,"Late",IF(E13&lt;&gt;"","In progress","Not started"))))</f>
        <v>Complete</v>
      </c>
      <c r="H13" s="9">
        <f>IF(F13&lt;&gt;"",F13-D13,IF(G13="Late",Settings!$B$3-D13,""))</f>
        <v>0</v>
      </c>
      <c r="I13" s="30">
        <f t="shared" si="1"/>
        <v>46209</v>
      </c>
      <c r="J13" s="30">
        <f t="shared" si="2"/>
        <v>46237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</row>
    <row r="14" spans="1:47" x14ac:dyDescent="0.2">
      <c r="A14" s="28" t="s">
        <v>106</v>
      </c>
      <c r="B14" s="28" t="s">
        <v>130</v>
      </c>
      <c r="C14" s="29">
        <v>46237</v>
      </c>
      <c r="D14" s="29">
        <v>46293</v>
      </c>
      <c r="E14" s="29">
        <v>46237</v>
      </c>
      <c r="F14" s="29">
        <v>46284</v>
      </c>
      <c r="G14" s="9" t="str">
        <f>IF(F14&lt;&gt;"","Complete",IF(INDEX(Sites!$E$2:$E$6,MATCH($A14,Sites!$A$2:$A$6,0))="On hold","On hold",IF(D14&lt;Settings!$B$3,"Late",IF(E14&lt;&gt;"","In progress","Not started"))))</f>
        <v>Complete</v>
      </c>
      <c r="H14" s="9">
        <f>IF(F14&lt;&gt;"",F14-D14,IF(G14="Late",Settings!$B$3-D14,""))</f>
        <v>-9</v>
      </c>
      <c r="I14" s="30">
        <f t="shared" si="1"/>
        <v>46237</v>
      </c>
      <c r="J14" s="30">
        <f t="shared" si="2"/>
        <v>46284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</row>
    <row r="15" spans="1:47" x14ac:dyDescent="0.2">
      <c r="A15" s="28" t="s">
        <v>106</v>
      </c>
      <c r="B15" s="28" t="s">
        <v>131</v>
      </c>
      <c r="C15" s="29">
        <v>46237</v>
      </c>
      <c r="D15" s="29">
        <v>46286</v>
      </c>
      <c r="E15" s="29">
        <v>46237</v>
      </c>
      <c r="F15" s="29">
        <v>46278</v>
      </c>
      <c r="G15" s="9" t="str">
        <f>IF(F15&lt;&gt;"","Complete",IF(INDEX(Sites!$E$2:$E$6,MATCH($A15,Sites!$A$2:$A$6,0))="On hold","On hold",IF(D15&lt;Settings!$B$3,"Late",IF(E15&lt;&gt;"","In progress","Not started"))))</f>
        <v>Complete</v>
      </c>
      <c r="H15" s="9">
        <f>IF(F15&lt;&gt;"",F15-D15,IF(G15="Late",Settings!$B$3-D15,""))</f>
        <v>-8</v>
      </c>
      <c r="I15" s="30">
        <f t="shared" si="1"/>
        <v>46237</v>
      </c>
      <c r="J15" s="30">
        <f t="shared" si="2"/>
        <v>46278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</row>
    <row r="16" spans="1:47" x14ac:dyDescent="0.2">
      <c r="A16" s="28" t="s">
        <v>106</v>
      </c>
      <c r="B16" s="28" t="s">
        <v>132</v>
      </c>
      <c r="C16" s="29">
        <v>46244</v>
      </c>
      <c r="D16" s="29">
        <v>46307</v>
      </c>
      <c r="E16" s="29">
        <v>46244</v>
      </c>
      <c r="F16" s="29"/>
      <c r="G16" s="9" t="str">
        <f>IF(F16&lt;&gt;"","Complete",IF(INDEX(Sites!$E$2:$E$6,MATCH($A16,Sites!$A$2:$A$6,0))="On hold","On hold",IF(D16&lt;Settings!$B$3,"Late",IF(E16&lt;&gt;"","In progress","Not started"))))</f>
        <v>In progress</v>
      </c>
      <c r="H16" s="9" t="str">
        <f>IF(F16&lt;&gt;"",F16-D16,IF(G16="Late",Settings!$B$3-D16,""))</f>
        <v/>
      </c>
      <c r="I16" s="30">
        <f t="shared" si="1"/>
        <v>46244</v>
      </c>
      <c r="J16" s="30">
        <f t="shared" si="2"/>
        <v>46307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</row>
    <row r="17" spans="1:47" x14ac:dyDescent="0.2">
      <c r="A17" s="28" t="s">
        <v>106</v>
      </c>
      <c r="B17" s="28" t="s">
        <v>133</v>
      </c>
      <c r="C17" s="30">
        <f>D17-14</f>
        <v>46307</v>
      </c>
      <c r="D17" s="32">
        <f>Sites!F4</f>
        <v>46321</v>
      </c>
      <c r="E17" s="29"/>
      <c r="F17" s="32" t="str">
        <f>IF(Sites!G4="","",Sites!G4)</f>
        <v/>
      </c>
      <c r="G17" s="9" t="str">
        <f>IF(F17&lt;&gt;"","Complete",IF(INDEX(Sites!$E$2:$E$6,MATCH($A17,Sites!$A$2:$A$6,0))="On hold","On hold",IF(D17&lt;Settings!$B$3,"Late",IF(E17&lt;&gt;"","In progress","Not started"))))</f>
        <v>Not started</v>
      </c>
      <c r="H17" s="9" t="str">
        <f>IF(F17&lt;&gt;"",F17-D17,IF(G17="Late",Settings!$B$3-D17,""))</f>
        <v/>
      </c>
      <c r="I17" s="30">
        <f t="shared" si="1"/>
        <v>46307</v>
      </c>
      <c r="J17" s="30">
        <f t="shared" si="2"/>
        <v>46321</v>
      </c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</row>
    <row r="18" spans="1:47" x14ac:dyDescent="0.2">
      <c r="A18" s="28" t="s">
        <v>110</v>
      </c>
      <c r="B18" s="28" t="s">
        <v>129</v>
      </c>
      <c r="C18" s="29">
        <v>46223</v>
      </c>
      <c r="D18" s="29">
        <v>46251</v>
      </c>
      <c r="E18" s="29">
        <v>46223</v>
      </c>
      <c r="F18" s="29">
        <v>46251</v>
      </c>
      <c r="G18" s="9" t="str">
        <f>IF(F18&lt;&gt;"","Complete",IF(INDEX(Sites!$E$2:$E$6,MATCH($A18,Sites!$A$2:$A$6,0))="On hold","On hold",IF(D18&lt;Settings!$B$3,"Late",IF(E18&lt;&gt;"","In progress","Not started"))))</f>
        <v>Complete</v>
      </c>
      <c r="H18" s="9">
        <f>IF(F18&lt;&gt;"",F18-D18,IF(G18="Late",Settings!$B$3-D18,""))</f>
        <v>0</v>
      </c>
      <c r="I18" s="30">
        <f t="shared" si="1"/>
        <v>46223</v>
      </c>
      <c r="J18" s="30">
        <f t="shared" si="2"/>
        <v>46251</v>
      </c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</row>
    <row r="19" spans="1:47" x14ac:dyDescent="0.2">
      <c r="A19" s="28" t="s">
        <v>110</v>
      </c>
      <c r="B19" s="28" t="s">
        <v>130</v>
      </c>
      <c r="C19" s="29">
        <v>46251</v>
      </c>
      <c r="D19" s="29">
        <v>46307</v>
      </c>
      <c r="E19" s="29">
        <v>46251</v>
      </c>
      <c r="F19" s="29"/>
      <c r="G19" s="9" t="str">
        <f>IF(F19&lt;&gt;"","Complete",IF(INDEX(Sites!$E$2:$E$6,MATCH($A19,Sites!$A$2:$A$6,0))="On hold","On hold",IF(D19&lt;Settings!$B$3,"Late",IF(E19&lt;&gt;"","In progress","Not started"))))</f>
        <v>In progress</v>
      </c>
      <c r="H19" s="9" t="str">
        <f>IF(F19&lt;&gt;"",F19-D19,IF(G19="Late",Settings!$B$3-D19,""))</f>
        <v/>
      </c>
      <c r="I19" s="30">
        <f t="shared" si="1"/>
        <v>46251</v>
      </c>
      <c r="J19" s="30">
        <f t="shared" si="2"/>
        <v>46307</v>
      </c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</row>
    <row r="20" spans="1:47" x14ac:dyDescent="0.2">
      <c r="A20" s="28" t="s">
        <v>110</v>
      </c>
      <c r="B20" s="28" t="s">
        <v>131</v>
      </c>
      <c r="C20" s="29">
        <v>46251</v>
      </c>
      <c r="D20" s="29">
        <v>46300</v>
      </c>
      <c r="E20" s="29">
        <v>46251</v>
      </c>
      <c r="F20" s="29"/>
      <c r="G20" s="9" t="str">
        <f>IF(F20&lt;&gt;"","Complete",IF(INDEX(Sites!$E$2:$E$6,MATCH($A20,Sites!$A$2:$A$6,0))="On hold","On hold",IF(D20&lt;Settings!$B$3,"Late",IF(E20&lt;&gt;"","In progress","Not started"))))</f>
        <v>Late</v>
      </c>
      <c r="H20" s="9">
        <f>IF(F20&lt;&gt;"",F20-D20,IF(G20="Late",Settings!$B$3-D20,""))</f>
        <v>4</v>
      </c>
      <c r="I20" s="30">
        <f t="shared" si="1"/>
        <v>46251</v>
      </c>
      <c r="J20" s="30">
        <f t="shared" si="2"/>
        <v>46300</v>
      </c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</row>
    <row r="21" spans="1:47" x14ac:dyDescent="0.2">
      <c r="A21" s="28" t="s">
        <v>110</v>
      </c>
      <c r="B21" s="28" t="s">
        <v>132</v>
      </c>
      <c r="C21" s="29">
        <v>46266</v>
      </c>
      <c r="D21" s="29">
        <v>46321</v>
      </c>
      <c r="E21" s="29">
        <v>46266</v>
      </c>
      <c r="F21" s="29"/>
      <c r="G21" s="9" t="str">
        <f>IF(F21&lt;&gt;"","Complete",IF(INDEX(Sites!$E$2:$E$6,MATCH($A21,Sites!$A$2:$A$6,0))="On hold","On hold",IF(D21&lt;Settings!$B$3,"Late",IF(E21&lt;&gt;"","In progress","Not started"))))</f>
        <v>In progress</v>
      </c>
      <c r="H21" s="9" t="str">
        <f>IF(F21&lt;&gt;"",F21-D21,IF(G21="Late",Settings!$B$3-D21,""))</f>
        <v/>
      </c>
      <c r="I21" s="30">
        <f t="shared" si="1"/>
        <v>46266</v>
      </c>
      <c r="J21" s="30">
        <f t="shared" si="2"/>
        <v>46321</v>
      </c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</row>
    <row r="22" spans="1:47" x14ac:dyDescent="0.2">
      <c r="A22" s="28" t="s">
        <v>110</v>
      </c>
      <c r="B22" s="28" t="s">
        <v>133</v>
      </c>
      <c r="C22" s="30">
        <f>D22-14</f>
        <v>46321</v>
      </c>
      <c r="D22" s="32">
        <f>Sites!F5</f>
        <v>46335</v>
      </c>
      <c r="E22" s="29"/>
      <c r="F22" s="32" t="str">
        <f>IF(Sites!G5="","",Sites!G5)</f>
        <v/>
      </c>
      <c r="G22" s="9" t="str">
        <f>IF(F22&lt;&gt;"","Complete",IF(INDEX(Sites!$E$2:$E$6,MATCH($A22,Sites!$A$2:$A$6,0))="On hold","On hold",IF(D22&lt;Settings!$B$3,"Late",IF(E22&lt;&gt;"","In progress","Not started"))))</f>
        <v>Not started</v>
      </c>
      <c r="H22" s="9" t="str">
        <f>IF(F22&lt;&gt;"",F22-D22,IF(G22="Late",Settings!$B$3-D22,""))</f>
        <v/>
      </c>
      <c r="I22" s="30">
        <f t="shared" si="1"/>
        <v>46321</v>
      </c>
      <c r="J22" s="30">
        <f t="shared" si="2"/>
        <v>46335</v>
      </c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</row>
    <row r="23" spans="1:47" x14ac:dyDescent="0.2">
      <c r="A23" s="28" t="s">
        <v>114</v>
      </c>
      <c r="B23" s="28" t="s">
        <v>129</v>
      </c>
      <c r="C23" s="29">
        <v>46195</v>
      </c>
      <c r="D23" s="29">
        <v>46223</v>
      </c>
      <c r="E23" s="29">
        <v>46195</v>
      </c>
      <c r="F23" s="29">
        <v>46223</v>
      </c>
      <c r="G23" s="9" t="str">
        <f>IF(F23&lt;&gt;"","Complete",IF(INDEX(Sites!$E$2:$E$6,MATCH($A23,Sites!$A$2:$A$6,0))="On hold","On hold",IF(D23&lt;Settings!$B$3,"Late",IF(E23&lt;&gt;"","In progress","Not started"))))</f>
        <v>Complete</v>
      </c>
      <c r="H23" s="9">
        <f>IF(F23&lt;&gt;"",F23-D23,IF(G23="Late",Settings!$B$3-D23,""))</f>
        <v>0</v>
      </c>
      <c r="I23" s="30">
        <f t="shared" si="1"/>
        <v>46195</v>
      </c>
      <c r="J23" s="30">
        <f t="shared" si="2"/>
        <v>46223</v>
      </c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</row>
    <row r="24" spans="1:47" x14ac:dyDescent="0.2">
      <c r="A24" s="28" t="s">
        <v>114</v>
      </c>
      <c r="B24" s="28" t="s">
        <v>130</v>
      </c>
      <c r="C24" s="29">
        <v>46223</v>
      </c>
      <c r="D24" s="29">
        <v>46279</v>
      </c>
      <c r="E24" s="29">
        <v>46223</v>
      </c>
      <c r="F24" s="29"/>
      <c r="G24" s="9" t="str">
        <f>IF(F24&lt;&gt;"","Complete",IF(INDEX(Sites!$E$2:$E$6,MATCH($A24,Sites!$A$2:$A$6,0))="On hold","On hold",IF(D24&lt;Settings!$B$3,"Late",IF(E24&lt;&gt;"","In progress","Not started"))))</f>
        <v>On hold</v>
      </c>
      <c r="H24" s="9" t="str">
        <f>IF(F24&lt;&gt;"",F24-D24,IF(G24="Late",Settings!$B$3-D24,""))</f>
        <v/>
      </c>
      <c r="I24" s="30">
        <f t="shared" si="1"/>
        <v>46223</v>
      </c>
      <c r="J24" s="30">
        <f t="shared" si="2"/>
        <v>46279</v>
      </c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</row>
    <row r="25" spans="1:47" x14ac:dyDescent="0.2">
      <c r="A25" s="28" t="s">
        <v>114</v>
      </c>
      <c r="B25" s="28" t="s">
        <v>131</v>
      </c>
      <c r="C25" s="29">
        <v>46223</v>
      </c>
      <c r="D25" s="29">
        <v>46272</v>
      </c>
      <c r="E25" s="29">
        <v>46223</v>
      </c>
      <c r="F25" s="29"/>
      <c r="G25" s="9" t="str">
        <f>IF(F25&lt;&gt;"","Complete",IF(INDEX(Sites!$E$2:$E$6,MATCH($A25,Sites!$A$2:$A$6,0))="On hold","On hold",IF(D25&lt;Settings!$B$3,"Late",IF(E25&lt;&gt;"","In progress","Not started"))))</f>
        <v>On hold</v>
      </c>
      <c r="H25" s="9" t="str">
        <f>IF(F25&lt;&gt;"",F25-D25,IF(G25="Late",Settings!$B$3-D25,""))</f>
        <v/>
      </c>
      <c r="I25" s="30">
        <f t="shared" si="1"/>
        <v>46223</v>
      </c>
      <c r="J25" s="30">
        <f t="shared" si="2"/>
        <v>46272</v>
      </c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</row>
    <row r="26" spans="1:47" x14ac:dyDescent="0.2">
      <c r="A26" s="28" t="s">
        <v>114</v>
      </c>
      <c r="B26" s="28" t="s">
        <v>132</v>
      </c>
      <c r="C26" s="29">
        <v>46223</v>
      </c>
      <c r="D26" s="29">
        <v>46293</v>
      </c>
      <c r="E26" s="29">
        <v>46223</v>
      </c>
      <c r="F26" s="29"/>
      <c r="G26" s="9" t="str">
        <f>IF(F26&lt;&gt;"","Complete",IF(INDEX(Sites!$E$2:$E$6,MATCH($A26,Sites!$A$2:$A$6,0))="On hold","On hold",IF(D26&lt;Settings!$B$3,"Late",IF(E26&lt;&gt;"","In progress","Not started"))))</f>
        <v>On hold</v>
      </c>
      <c r="H26" s="9" t="str">
        <f>IF(F26&lt;&gt;"",F26-D26,IF(G26="Late",Settings!$B$3-D26,""))</f>
        <v/>
      </c>
      <c r="I26" s="30">
        <f t="shared" si="1"/>
        <v>46223</v>
      </c>
      <c r="J26" s="30">
        <f t="shared" si="2"/>
        <v>46293</v>
      </c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</row>
    <row r="27" spans="1:47" x14ac:dyDescent="0.2">
      <c r="A27" s="28" t="s">
        <v>114</v>
      </c>
      <c r="B27" s="28" t="s">
        <v>133</v>
      </c>
      <c r="C27" s="30">
        <f>D27-14</f>
        <v>46293</v>
      </c>
      <c r="D27" s="32">
        <f>Sites!F6</f>
        <v>46307</v>
      </c>
      <c r="E27" s="29"/>
      <c r="F27" s="32" t="str">
        <f>IF(Sites!G6="","",Sites!G6)</f>
        <v/>
      </c>
      <c r="G27" s="9" t="str">
        <f>IF(F27&lt;&gt;"","Complete",IF(INDEX(Sites!$E$2:$E$6,MATCH($A27,Sites!$A$2:$A$6,0))="On hold","On hold",IF(D27&lt;Settings!$B$3,"Late",IF(E27&lt;&gt;"","In progress","Not started"))))</f>
        <v>On hold</v>
      </c>
      <c r="H27" s="9" t="str">
        <f>IF(F27&lt;&gt;"",F27-D27,IF(G27="Late",Settings!$B$3-D27,""))</f>
        <v/>
      </c>
      <c r="I27" s="30">
        <f t="shared" si="1"/>
        <v>46293</v>
      </c>
      <c r="J27" s="30">
        <f t="shared" si="2"/>
        <v>46307</v>
      </c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</row>
    <row r="29" spans="1:47" x14ac:dyDescent="0.2">
      <c r="A29" s="6" t="s">
        <v>134</v>
      </c>
    </row>
    <row r="30" spans="1:47" x14ac:dyDescent="0.2">
      <c r="A30" s="34"/>
      <c r="B30" s="19" t="s">
        <v>51</v>
      </c>
    </row>
    <row r="31" spans="1:47" x14ac:dyDescent="0.2">
      <c r="A31" s="35"/>
      <c r="B31" s="19" t="s">
        <v>34</v>
      </c>
    </row>
    <row r="32" spans="1:47" x14ac:dyDescent="0.2">
      <c r="A32" s="36"/>
      <c r="B32" s="19" t="s">
        <v>52</v>
      </c>
    </row>
    <row r="33" spans="1:2" x14ac:dyDescent="0.2">
      <c r="A33" s="37"/>
      <c r="B33" s="19" t="s">
        <v>47</v>
      </c>
    </row>
    <row r="34" spans="1:2" x14ac:dyDescent="0.2">
      <c r="A34" s="38"/>
      <c r="B34" s="19" t="s">
        <v>53</v>
      </c>
    </row>
    <row r="35" spans="1:2" x14ac:dyDescent="0.2">
      <c r="A35" s="39"/>
      <c r="B35" s="19" t="s">
        <v>135</v>
      </c>
    </row>
    <row r="36" spans="1:2" x14ac:dyDescent="0.2">
      <c r="A36" s="40"/>
      <c r="B36" s="19" t="s">
        <v>136</v>
      </c>
    </row>
    <row r="38" spans="1:2" x14ac:dyDescent="0.2">
      <c r="A38" s="17" t="s">
        <v>137</v>
      </c>
    </row>
    <row r="39" spans="1:2" x14ac:dyDescent="0.2">
      <c r="A39" s="17" t="s">
        <v>138</v>
      </c>
    </row>
    <row r="40" spans="1:2" x14ac:dyDescent="0.2">
      <c r="A40" s="17" t="s">
        <v>139</v>
      </c>
    </row>
    <row r="41" spans="1:2" x14ac:dyDescent="0.2">
      <c r="A41" s="17" t="s">
        <v>140</v>
      </c>
    </row>
    <row r="42" spans="1:2" x14ac:dyDescent="0.2">
      <c r="A42" s="17" t="s">
        <v>141</v>
      </c>
    </row>
    <row r="43" spans="1:2" x14ac:dyDescent="0.2">
      <c r="A43" s="17" t="s">
        <v>142</v>
      </c>
    </row>
  </sheetData>
  <conditionalFormatting sqref="G3:G27">
    <cfRule type="cellIs" dxfId="27" priority="10" operator="equal">
      <formula>"Complete"</formula>
    </cfRule>
    <cfRule type="cellIs" dxfId="26" priority="11" operator="equal">
      <formula>"In progress"</formula>
    </cfRule>
    <cfRule type="cellIs" dxfId="25" priority="12" operator="equal">
      <formula>"Late"</formula>
    </cfRule>
    <cfRule type="cellIs" dxfId="24" priority="13" operator="equal">
      <formula>"On hold"</formula>
    </cfRule>
  </conditionalFormatting>
  <conditionalFormatting sqref="H3:H27">
    <cfRule type="expression" dxfId="23" priority="14">
      <formula>AND(ISNUMBER(H3),H3&gt;0)</formula>
    </cfRule>
  </conditionalFormatting>
  <conditionalFormatting sqref="K3:AU27">
    <cfRule type="expression" dxfId="20" priority="3">
      <formula>AND($G3="Complete",AND(K$2&lt;=$J3,K$2+6&gt;=$I3))</formula>
    </cfRule>
    <cfRule type="expression" dxfId="19" priority="4">
      <formula>AND($G3="In progress",AND(K$2&lt;=$J3,K$2+6&gt;=$I3))</formula>
    </cfRule>
    <cfRule type="expression" dxfId="18" priority="5">
      <formula>AND($G3="Late",AND(K$2&lt;=$J3,K$2+6&gt;=$I3))</formula>
    </cfRule>
    <cfRule type="expression" dxfId="17" priority="6">
      <formula>AND($G3="On hold",AND(K$2&lt;=$J3,K$2+6&gt;=$I3))</formula>
    </cfRule>
    <cfRule type="expression" dxfId="16" priority="7">
      <formula>AND($G3="Not started",AND(K$2&lt;=$J3,K$2+6&gt;=$I3))</formula>
    </cfRule>
  </conditionalFormatting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id="{00000000-000E-0000-0400-000009000000}">
            <xm:f>AND(Settings!$B$3&gt;=K$2,Settings!$B$3&lt;=K$2+6)</xm:f>
            <x14:dxf>
              <fill>
                <patternFill>
                  <bgColor rgb="FFFFD966"/>
                </patternFill>
              </fill>
            </x14:dxf>
          </x14:cfRule>
          <xm:sqref>K2:AU2</xm:sqref>
        </x14:conditionalFormatting>
        <x14:conditionalFormatting xmlns:xm="http://schemas.microsoft.com/office/excel/2006/main">
          <x14:cfRule type="expression" priority="2" id="{00000000-000E-0000-0400-000002000000}">
            <xm:f>AND($G3="Late",K$2&gt;$D3,K$2&lt;=Settings!$B$3)</xm:f>
            <x14:dxf>
              <fill>
                <patternFill>
                  <bgColor rgb="FFF4B183"/>
                </patternFill>
              </fill>
            </x14:dxf>
          </x14:cfRule>
          <x14:cfRule type="expression" priority="8" id="{00000000-000E-0000-0400-000008000000}">
            <xm:f>AND(Settings!$B$3&gt;=K$2,Settings!$B$3&lt;=K$2+6)</xm:f>
            <x14:dxf>
              <fill>
                <patternFill>
                  <bgColor rgb="FFFFF2CC"/>
                </patternFill>
              </fill>
            </x14:dxf>
          </x14:cfRule>
          <xm:sqref>K3:AU27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51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9" customWidth="1"/>
    <col min="2" max="2" width="8" customWidth="1"/>
    <col min="3" max="3" width="36" customWidth="1"/>
    <col min="4" max="4" width="11" customWidth="1"/>
    <col min="5" max="5" width="15" customWidth="1"/>
    <col min="6" max="8" width="14" customWidth="1"/>
    <col min="9" max="9" width="10" customWidth="1"/>
    <col min="10" max="10" width="15" customWidth="1"/>
    <col min="11" max="11" width="9" customWidth="1"/>
    <col min="12" max="12" width="36" customWidth="1"/>
    <col min="13" max="13" width="14" customWidth="1"/>
    <col min="14" max="14" width="9" customWidth="1"/>
    <col min="15" max="15" width="10" customWidth="1"/>
    <col min="16" max="16" width="34" customWidth="1"/>
    <col min="17" max="18" width="14" customWidth="1"/>
  </cols>
  <sheetData>
    <row r="1" spans="1:18" ht="45" customHeight="1" x14ac:dyDescent="0.2">
      <c r="A1" s="20" t="s">
        <v>143</v>
      </c>
      <c r="B1" s="20" t="s">
        <v>88</v>
      </c>
      <c r="C1" s="20" t="s">
        <v>144</v>
      </c>
      <c r="D1" s="20" t="s">
        <v>145</v>
      </c>
      <c r="E1" s="20" t="s">
        <v>125</v>
      </c>
      <c r="F1" s="20" t="s">
        <v>146</v>
      </c>
      <c r="G1" s="20" t="s">
        <v>147</v>
      </c>
      <c r="H1" s="20" t="s">
        <v>148</v>
      </c>
      <c r="I1" s="20" t="s">
        <v>149</v>
      </c>
      <c r="J1" s="20" t="s">
        <v>150</v>
      </c>
      <c r="K1" s="20" t="s">
        <v>151</v>
      </c>
      <c r="L1" s="20" t="s">
        <v>152</v>
      </c>
      <c r="M1" s="20" t="s">
        <v>153</v>
      </c>
      <c r="N1" s="20" t="s">
        <v>154</v>
      </c>
      <c r="O1" s="20" t="s">
        <v>155</v>
      </c>
      <c r="P1" s="20" t="s">
        <v>156</v>
      </c>
      <c r="Q1" s="20" t="s">
        <v>157</v>
      </c>
      <c r="R1" s="20" t="s">
        <v>158</v>
      </c>
    </row>
    <row r="2" spans="1:18" x14ac:dyDescent="0.2">
      <c r="A2" s="21" t="s">
        <v>159</v>
      </c>
      <c r="B2" s="21" t="s">
        <v>98</v>
      </c>
      <c r="C2" s="21" t="s">
        <v>160</v>
      </c>
      <c r="D2" s="21" t="s">
        <v>161</v>
      </c>
      <c r="E2" s="21" t="s">
        <v>86</v>
      </c>
      <c r="F2" s="22">
        <v>46160</v>
      </c>
      <c r="G2" s="22">
        <v>46180</v>
      </c>
      <c r="H2" s="22"/>
      <c r="I2" s="24" t="str">
        <f>IF(H2="","",H2-Settings!$B$3)</f>
        <v/>
      </c>
      <c r="J2" s="24" t="str">
        <f>IF(E2="Not started","Missing",IF(AND(H2&lt;&gt;"",H2&lt;Settings!$B$3),"Expired",IF(AND(H2&lt;&gt;"",H2-Settings!$B$3&lt;=Settings!$B$4),"Expiring soon",IF(E2="Filed in eTMF","OK","In progress"))))</f>
        <v>OK</v>
      </c>
      <c r="K2" s="21" t="s">
        <v>162</v>
      </c>
      <c r="L2" s="21"/>
      <c r="M2" s="22">
        <v>46186</v>
      </c>
      <c r="N2" s="24">
        <f t="shared" ref="N2:N33" si="0">IF(OR(M2="",G2=""),"",M2-G2)</f>
        <v>6</v>
      </c>
      <c r="O2" s="24" t="str">
        <f>IF(N2="","",IF(N2&lt;=Settings!$B$6,"Pass","Late"))</f>
        <v>Pass</v>
      </c>
      <c r="P2" s="21"/>
      <c r="Q2" s="22"/>
      <c r="R2" s="24" t="str">
        <f>IF(Q2="","",IF(Q2&lt;Settings!$B$3,"Overdue",IF(Q2-Settings!$B$3&lt;=Settings!$B$7,"Due this week","Scheduled")))</f>
        <v/>
      </c>
    </row>
    <row r="3" spans="1:18" x14ac:dyDescent="0.2">
      <c r="A3" s="21" t="s">
        <v>163</v>
      </c>
      <c r="B3" s="21" t="s">
        <v>98</v>
      </c>
      <c r="C3" s="21" t="s">
        <v>164</v>
      </c>
      <c r="D3" s="21" t="s">
        <v>161</v>
      </c>
      <c r="E3" s="21" t="s">
        <v>86</v>
      </c>
      <c r="F3" s="22">
        <v>46163</v>
      </c>
      <c r="G3" s="22">
        <v>46183</v>
      </c>
      <c r="H3" s="22"/>
      <c r="I3" s="24" t="str">
        <f>IF(H3="","",H3-Settings!$B$3)</f>
        <v/>
      </c>
      <c r="J3" s="24" t="str">
        <f>IF(E3="Not started","Missing",IF(AND(H3&lt;&gt;"",H3&lt;Settings!$B$3),"Expired",IF(AND(H3&lt;&gt;"",H3-Settings!$B$3&lt;=Settings!$B$4),"Expiring soon",IF(E3="Filed in eTMF","OK","In progress"))))</f>
        <v>OK</v>
      </c>
      <c r="K3" s="21" t="s">
        <v>162</v>
      </c>
      <c r="L3" s="21"/>
      <c r="M3" s="22">
        <v>46188</v>
      </c>
      <c r="N3" s="24">
        <f t="shared" si="0"/>
        <v>5</v>
      </c>
      <c r="O3" s="24" t="str">
        <f>IF(N3="","",IF(N3&lt;=Settings!$B$6,"Pass","Late"))</f>
        <v>Pass</v>
      </c>
      <c r="P3" s="21"/>
      <c r="Q3" s="22"/>
      <c r="R3" s="24" t="str">
        <f>IF(Q3="","",IF(Q3&lt;Settings!$B$3,"Overdue",IF(Q3-Settings!$B$3&lt;=Settings!$B$7,"Due this week","Scheduled")))</f>
        <v/>
      </c>
    </row>
    <row r="4" spans="1:18" ht="30" x14ac:dyDescent="0.2">
      <c r="A4" s="21" t="s">
        <v>165</v>
      </c>
      <c r="B4" s="21" t="s">
        <v>98</v>
      </c>
      <c r="C4" s="21" t="s">
        <v>166</v>
      </c>
      <c r="D4" s="21" t="s">
        <v>161</v>
      </c>
      <c r="E4" s="21" t="s">
        <v>86</v>
      </c>
      <c r="F4" s="22">
        <v>46166</v>
      </c>
      <c r="G4" s="22">
        <v>46188</v>
      </c>
      <c r="H4" s="22">
        <v>46346</v>
      </c>
      <c r="I4" s="24">
        <f>IF(H4="","",H4-Settings!$B$3)</f>
        <v>42</v>
      </c>
      <c r="J4" s="24" t="str">
        <f>IF(E4="Not started","Missing",IF(AND(H4&lt;&gt;"",H4&lt;Settings!$B$3),"Expired",IF(AND(H4&lt;&gt;"",H4-Settings!$B$3&lt;=Settings!$B$4),"Expiring soon",IF(E4="Filed in eTMF","OK","In progress"))))</f>
        <v>Expiring soon</v>
      </c>
      <c r="K4" s="21" t="s">
        <v>162</v>
      </c>
      <c r="L4" s="21" t="s">
        <v>167</v>
      </c>
      <c r="M4" s="22">
        <v>46190</v>
      </c>
      <c r="N4" s="24">
        <f t="shared" si="0"/>
        <v>2</v>
      </c>
      <c r="O4" s="24" t="str">
        <f>IF(N4="","",IF(N4&lt;=Settings!$B$6,"Pass","Late"))</f>
        <v>Pass</v>
      </c>
      <c r="P4" s="21" t="s">
        <v>168</v>
      </c>
      <c r="Q4" s="22">
        <v>46325</v>
      </c>
      <c r="R4" s="24" t="str">
        <f>IF(Q4="","",IF(Q4&lt;Settings!$B$3,"Overdue",IF(Q4-Settings!$B$3&lt;=Settings!$B$7,"Due this week","Scheduled")))</f>
        <v>Scheduled</v>
      </c>
    </row>
    <row r="5" spans="1:18" x14ac:dyDescent="0.2">
      <c r="A5" s="21" t="s">
        <v>169</v>
      </c>
      <c r="B5" s="21" t="s">
        <v>98</v>
      </c>
      <c r="C5" s="21" t="s">
        <v>170</v>
      </c>
      <c r="D5" s="21" t="s">
        <v>161</v>
      </c>
      <c r="E5" s="21" t="s">
        <v>86</v>
      </c>
      <c r="F5" s="22">
        <v>46169</v>
      </c>
      <c r="G5" s="22">
        <v>46180</v>
      </c>
      <c r="H5" s="22"/>
      <c r="I5" s="24" t="str">
        <f>IF(H5="","",H5-Settings!$B$3)</f>
        <v/>
      </c>
      <c r="J5" s="24" t="str">
        <f>IF(E5="Not started","Missing",IF(AND(H5&lt;&gt;"",H5&lt;Settings!$B$3),"Expired",IF(AND(H5&lt;&gt;"",H5-Settings!$B$3&lt;=Settings!$B$4),"Expiring soon",IF(E5="Filed in eTMF","OK","In progress"))))</f>
        <v>OK</v>
      </c>
      <c r="K5" s="21" t="s">
        <v>162</v>
      </c>
      <c r="L5" s="21"/>
      <c r="M5" s="22">
        <v>46186</v>
      </c>
      <c r="N5" s="24">
        <f t="shared" si="0"/>
        <v>6</v>
      </c>
      <c r="O5" s="24" t="str">
        <f>IF(N5="","",IF(N5&lt;=Settings!$B$6,"Pass","Late"))</f>
        <v>Pass</v>
      </c>
      <c r="P5" s="21"/>
      <c r="Q5" s="22"/>
      <c r="R5" s="24" t="str">
        <f>IF(Q5="","",IF(Q5&lt;Settings!$B$3,"Overdue",IF(Q5-Settings!$B$3&lt;=Settings!$B$7,"Due this week","Scheduled")))</f>
        <v/>
      </c>
    </row>
    <row r="6" spans="1:18" x14ac:dyDescent="0.2">
      <c r="A6" s="21" t="s">
        <v>171</v>
      </c>
      <c r="B6" s="21" t="s">
        <v>98</v>
      </c>
      <c r="C6" s="21" t="s">
        <v>172</v>
      </c>
      <c r="D6" s="21" t="s">
        <v>161</v>
      </c>
      <c r="E6" s="21" t="s">
        <v>86</v>
      </c>
      <c r="F6" s="22">
        <v>46172</v>
      </c>
      <c r="G6" s="22">
        <v>46193</v>
      </c>
      <c r="H6" s="22"/>
      <c r="I6" s="24" t="str">
        <f>IF(H6="","",H6-Settings!$B$3)</f>
        <v/>
      </c>
      <c r="J6" s="24" t="str">
        <f>IF(E6="Not started","Missing",IF(AND(H6&lt;&gt;"",H6&lt;Settings!$B$3),"Expired",IF(AND(H6&lt;&gt;"",H6-Settings!$B$3&lt;=Settings!$B$4),"Expiring soon",IF(E6="Filed in eTMF","OK","In progress"))))</f>
        <v>OK</v>
      </c>
      <c r="K6" s="21" t="s">
        <v>162</v>
      </c>
      <c r="L6" s="21"/>
      <c r="M6" s="22">
        <v>46205</v>
      </c>
      <c r="N6" s="24">
        <f t="shared" si="0"/>
        <v>12</v>
      </c>
      <c r="O6" s="24" t="str">
        <f>IF(N6="","",IF(N6&lt;=Settings!$B$6,"Pass","Late"))</f>
        <v>Late</v>
      </c>
      <c r="P6" s="21"/>
      <c r="Q6" s="22"/>
      <c r="R6" s="24" t="str">
        <f>IF(Q6="","",IF(Q6&lt;Settings!$B$3,"Overdue",IF(Q6-Settings!$B$3&lt;=Settings!$B$7,"Due this week","Scheduled")))</f>
        <v/>
      </c>
    </row>
    <row r="7" spans="1:18" ht="30" x14ac:dyDescent="0.2">
      <c r="A7" s="21" t="s">
        <v>173</v>
      </c>
      <c r="B7" s="21" t="s">
        <v>98</v>
      </c>
      <c r="C7" s="21" t="s">
        <v>174</v>
      </c>
      <c r="D7" s="21" t="s">
        <v>161</v>
      </c>
      <c r="E7" s="21" t="s">
        <v>86</v>
      </c>
      <c r="F7" s="22">
        <v>46175</v>
      </c>
      <c r="G7" s="22">
        <v>46186</v>
      </c>
      <c r="H7" s="22"/>
      <c r="I7" s="24" t="str">
        <f>IF(H7="","",H7-Settings!$B$3)</f>
        <v/>
      </c>
      <c r="J7" s="24" t="str">
        <f>IF(E7="Not started","Missing",IF(AND(H7&lt;&gt;"",H7&lt;Settings!$B$3),"Expired",IF(AND(H7&lt;&gt;"",H7-Settings!$B$3&lt;=Settings!$B$4),"Expiring soon",IF(E7="Filed in eTMF","OK","In progress"))))</f>
        <v>OK</v>
      </c>
      <c r="K7" s="21" t="s">
        <v>162</v>
      </c>
      <c r="L7" s="21"/>
      <c r="M7" s="22">
        <v>46187</v>
      </c>
      <c r="N7" s="24">
        <f t="shared" si="0"/>
        <v>1</v>
      </c>
      <c r="O7" s="24" t="str">
        <f>IF(N7="","",IF(N7&lt;=Settings!$B$6,"Pass","Late"))</f>
        <v>Pass</v>
      </c>
      <c r="P7" s="21"/>
      <c r="Q7" s="22"/>
      <c r="R7" s="24" t="str">
        <f>IF(Q7="","",IF(Q7&lt;Settings!$B$3,"Overdue",IF(Q7-Settings!$B$3&lt;=Settings!$B$7,"Due this week","Scheduled")))</f>
        <v/>
      </c>
    </row>
    <row r="8" spans="1:18" x14ac:dyDescent="0.2">
      <c r="A8" s="21" t="s">
        <v>175</v>
      </c>
      <c r="B8" s="21" t="s">
        <v>98</v>
      </c>
      <c r="C8" s="21" t="s">
        <v>176</v>
      </c>
      <c r="D8" s="21" t="s">
        <v>161</v>
      </c>
      <c r="E8" s="21" t="s">
        <v>86</v>
      </c>
      <c r="F8" s="22">
        <v>46178</v>
      </c>
      <c r="G8" s="22">
        <v>46198</v>
      </c>
      <c r="H8" s="22">
        <v>46753</v>
      </c>
      <c r="I8" s="24">
        <f>IF(H8="","",H8-Settings!$B$3)</f>
        <v>449</v>
      </c>
      <c r="J8" s="24" t="str">
        <f>IF(E8="Not started","Missing",IF(AND(H8&lt;&gt;"",H8&lt;Settings!$B$3),"Expired",IF(AND(H8&lt;&gt;"",H8-Settings!$B$3&lt;=Settings!$B$4),"Expiring soon",IF(E8="Filed in eTMF","OK","In progress"))))</f>
        <v>OK</v>
      </c>
      <c r="K8" s="21" t="s">
        <v>162</v>
      </c>
      <c r="L8" s="21"/>
      <c r="M8" s="22">
        <v>46199</v>
      </c>
      <c r="N8" s="24">
        <f t="shared" si="0"/>
        <v>1</v>
      </c>
      <c r="O8" s="24" t="str">
        <f>IF(N8="","",IF(N8&lt;=Settings!$B$6,"Pass","Late"))</f>
        <v>Pass</v>
      </c>
      <c r="P8" s="21"/>
      <c r="Q8" s="22"/>
      <c r="R8" s="24" t="str">
        <f>IF(Q8="","",IF(Q8&lt;Settings!$B$3,"Overdue",IF(Q8-Settings!$B$3&lt;=Settings!$B$7,"Due this week","Scheduled")))</f>
        <v/>
      </c>
    </row>
    <row r="9" spans="1:18" x14ac:dyDescent="0.2">
      <c r="A9" s="21" t="s">
        <v>177</v>
      </c>
      <c r="B9" s="21" t="s">
        <v>98</v>
      </c>
      <c r="C9" s="21" t="s">
        <v>178</v>
      </c>
      <c r="D9" s="21" t="s">
        <v>161</v>
      </c>
      <c r="E9" s="21" t="s">
        <v>86</v>
      </c>
      <c r="F9" s="22">
        <v>46181</v>
      </c>
      <c r="G9" s="22">
        <v>46189</v>
      </c>
      <c r="H9" s="22"/>
      <c r="I9" s="24" t="str">
        <f>IF(H9="","",H9-Settings!$B$3)</f>
        <v/>
      </c>
      <c r="J9" s="24" t="str">
        <f>IF(E9="Not started","Missing",IF(AND(H9&lt;&gt;"",H9&lt;Settings!$B$3),"Expired",IF(AND(H9&lt;&gt;"",H9-Settings!$B$3&lt;=Settings!$B$4),"Expiring soon",IF(E9="Filed in eTMF","OK","In progress"))))</f>
        <v>OK</v>
      </c>
      <c r="K9" s="21" t="s">
        <v>162</v>
      </c>
      <c r="L9" s="21"/>
      <c r="M9" s="22">
        <v>46195</v>
      </c>
      <c r="N9" s="24">
        <f t="shared" si="0"/>
        <v>6</v>
      </c>
      <c r="O9" s="24" t="str">
        <f>IF(N9="","",IF(N9&lt;=Settings!$B$6,"Pass","Late"))</f>
        <v>Pass</v>
      </c>
      <c r="P9" s="21"/>
      <c r="Q9" s="22"/>
      <c r="R9" s="24" t="str">
        <f>IF(Q9="","",IF(Q9&lt;Settings!$B$3,"Overdue",IF(Q9-Settings!$B$3&lt;=Settings!$B$7,"Due this week","Scheduled")))</f>
        <v/>
      </c>
    </row>
    <row r="10" spans="1:18" x14ac:dyDescent="0.2">
      <c r="A10" s="21" t="s">
        <v>179</v>
      </c>
      <c r="B10" s="21" t="s">
        <v>98</v>
      </c>
      <c r="C10" s="21" t="s">
        <v>180</v>
      </c>
      <c r="D10" s="21" t="s">
        <v>181</v>
      </c>
      <c r="E10" s="21" t="s">
        <v>86</v>
      </c>
      <c r="F10" s="22">
        <v>46184</v>
      </c>
      <c r="G10" s="22">
        <v>46191</v>
      </c>
      <c r="H10" s="22">
        <v>46461</v>
      </c>
      <c r="I10" s="24">
        <f>IF(H10="","",H10-Settings!$B$3)</f>
        <v>157</v>
      </c>
      <c r="J10" s="24" t="str">
        <f>IF(E10="Not started","Missing",IF(AND(H10&lt;&gt;"",H10&lt;Settings!$B$3),"Expired",IF(AND(H10&lt;&gt;"",H10-Settings!$B$3&lt;=Settings!$B$4),"Expiring soon",IF(E10="Filed in eTMF","OK","In progress"))))</f>
        <v>OK</v>
      </c>
      <c r="K10" s="21" t="s">
        <v>162</v>
      </c>
      <c r="L10" s="21"/>
      <c r="M10" s="22">
        <v>46195</v>
      </c>
      <c r="N10" s="24">
        <f t="shared" si="0"/>
        <v>4</v>
      </c>
      <c r="O10" s="24" t="str">
        <f>IF(N10="","",IF(N10&lt;=Settings!$B$6,"Pass","Late"))</f>
        <v>Pass</v>
      </c>
      <c r="P10" s="21"/>
      <c r="Q10" s="22"/>
      <c r="R10" s="24" t="str">
        <f>IF(Q10="","",IF(Q10&lt;Settings!$B$3,"Overdue",IF(Q10-Settings!$B$3&lt;=Settings!$B$7,"Due this week","Scheduled")))</f>
        <v/>
      </c>
    </row>
    <row r="11" spans="1:18" x14ac:dyDescent="0.2">
      <c r="A11" s="21" t="s">
        <v>182</v>
      </c>
      <c r="B11" s="21" t="s">
        <v>98</v>
      </c>
      <c r="C11" s="21" t="s">
        <v>183</v>
      </c>
      <c r="D11" s="21" t="s">
        <v>181</v>
      </c>
      <c r="E11" s="21" t="s">
        <v>86</v>
      </c>
      <c r="F11" s="22">
        <v>46187</v>
      </c>
      <c r="G11" s="22">
        <v>46207</v>
      </c>
      <c r="H11" s="22"/>
      <c r="I11" s="24" t="str">
        <f>IF(H11="","",H11-Settings!$B$3)</f>
        <v/>
      </c>
      <c r="J11" s="24" t="str">
        <f>IF(E11="Not started","Missing",IF(AND(H11&lt;&gt;"",H11&lt;Settings!$B$3),"Expired",IF(AND(H11&lt;&gt;"",H11-Settings!$B$3&lt;=Settings!$B$4),"Expiring soon",IF(E11="Filed in eTMF","OK","In progress"))))</f>
        <v>OK</v>
      </c>
      <c r="K11" s="21" t="s">
        <v>162</v>
      </c>
      <c r="L11" s="21"/>
      <c r="M11" s="22">
        <v>46219</v>
      </c>
      <c r="N11" s="24">
        <f t="shared" si="0"/>
        <v>12</v>
      </c>
      <c r="O11" s="24" t="str">
        <f>IF(N11="","",IF(N11&lt;=Settings!$B$6,"Pass","Late"))</f>
        <v>Late</v>
      </c>
      <c r="P11" s="21"/>
      <c r="Q11" s="22"/>
      <c r="R11" s="24" t="str">
        <f>IF(Q11="","",IF(Q11&lt;Settings!$B$3,"Overdue",IF(Q11-Settings!$B$3&lt;=Settings!$B$7,"Due this week","Scheduled")))</f>
        <v/>
      </c>
    </row>
    <row r="12" spans="1:18" x14ac:dyDescent="0.2">
      <c r="A12" s="21" t="s">
        <v>184</v>
      </c>
      <c r="B12" s="21" t="s">
        <v>102</v>
      </c>
      <c r="C12" s="21" t="s">
        <v>160</v>
      </c>
      <c r="D12" s="21" t="s">
        <v>161</v>
      </c>
      <c r="E12" s="21" t="s">
        <v>86</v>
      </c>
      <c r="F12" s="22">
        <v>46195</v>
      </c>
      <c r="G12" s="22">
        <v>46206</v>
      </c>
      <c r="H12" s="22"/>
      <c r="I12" s="24" t="str">
        <f>IF(H12="","",H12-Settings!$B$3)</f>
        <v/>
      </c>
      <c r="J12" s="24" t="str">
        <f>IF(E12="Not started","Missing",IF(AND(H12&lt;&gt;"",H12&lt;Settings!$B$3),"Expired",IF(AND(H12&lt;&gt;"",H12-Settings!$B$3&lt;=Settings!$B$4),"Expiring soon",IF(E12="Filed in eTMF","OK","In progress"))))</f>
        <v>OK</v>
      </c>
      <c r="K12" s="21" t="s">
        <v>162</v>
      </c>
      <c r="L12" s="21"/>
      <c r="M12" s="22">
        <v>46215</v>
      </c>
      <c r="N12" s="24">
        <f t="shared" si="0"/>
        <v>9</v>
      </c>
      <c r="O12" s="24" t="str">
        <f>IF(N12="","",IF(N12&lt;=Settings!$B$6,"Pass","Late"))</f>
        <v>Late</v>
      </c>
      <c r="P12" s="21"/>
      <c r="Q12" s="22"/>
      <c r="R12" s="24" t="str">
        <f>IF(Q12="","",IF(Q12&lt;Settings!$B$3,"Overdue",IF(Q12-Settings!$B$3&lt;=Settings!$B$7,"Due this week","Scheduled")))</f>
        <v/>
      </c>
    </row>
    <row r="13" spans="1:18" x14ac:dyDescent="0.2">
      <c r="A13" s="21" t="s">
        <v>185</v>
      </c>
      <c r="B13" s="21" t="s">
        <v>102</v>
      </c>
      <c r="C13" s="21" t="s">
        <v>164</v>
      </c>
      <c r="D13" s="21" t="s">
        <v>161</v>
      </c>
      <c r="E13" s="21" t="s">
        <v>86</v>
      </c>
      <c r="F13" s="22">
        <v>46198</v>
      </c>
      <c r="G13" s="22">
        <v>46204</v>
      </c>
      <c r="H13" s="22"/>
      <c r="I13" s="24" t="str">
        <f>IF(H13="","",H13-Settings!$B$3)</f>
        <v/>
      </c>
      <c r="J13" s="24" t="str">
        <f>IF(E13="Not started","Missing",IF(AND(H13&lt;&gt;"",H13&lt;Settings!$B$3),"Expired",IF(AND(H13&lt;&gt;"",H13-Settings!$B$3&lt;=Settings!$B$4),"Expiring soon",IF(E13="Filed in eTMF","OK","In progress"))))</f>
        <v>OK</v>
      </c>
      <c r="K13" s="21" t="s">
        <v>162</v>
      </c>
      <c r="L13" s="21"/>
      <c r="M13" s="22">
        <v>46210</v>
      </c>
      <c r="N13" s="24">
        <f t="shared" si="0"/>
        <v>6</v>
      </c>
      <c r="O13" s="24" t="str">
        <f>IF(N13="","",IF(N13&lt;=Settings!$B$6,"Pass","Late"))</f>
        <v>Pass</v>
      </c>
      <c r="P13" s="21"/>
      <c r="Q13" s="22"/>
      <c r="R13" s="24" t="str">
        <f>IF(Q13="","",IF(Q13&lt;Settings!$B$3,"Overdue",IF(Q13-Settings!$B$3&lt;=Settings!$B$7,"Due this week","Scheduled")))</f>
        <v/>
      </c>
    </row>
    <row r="14" spans="1:18" x14ac:dyDescent="0.2">
      <c r="A14" s="21" t="s">
        <v>186</v>
      </c>
      <c r="B14" s="21" t="s">
        <v>102</v>
      </c>
      <c r="C14" s="21" t="s">
        <v>166</v>
      </c>
      <c r="D14" s="21" t="s">
        <v>161</v>
      </c>
      <c r="E14" s="21" t="s">
        <v>86</v>
      </c>
      <c r="F14" s="22">
        <v>46201</v>
      </c>
      <c r="G14" s="22">
        <v>46209</v>
      </c>
      <c r="H14" s="22">
        <v>46639</v>
      </c>
      <c r="I14" s="24">
        <f>IF(H14="","",H14-Settings!$B$3)</f>
        <v>335</v>
      </c>
      <c r="J14" s="24" t="str">
        <f>IF(E14="Not started","Missing",IF(AND(H14&lt;&gt;"",H14&lt;Settings!$B$3),"Expired",IF(AND(H14&lt;&gt;"",H14-Settings!$B$3&lt;=Settings!$B$4),"Expiring soon",IF(E14="Filed in eTMF","OK","In progress"))))</f>
        <v>OK</v>
      </c>
      <c r="K14" s="21" t="s">
        <v>162</v>
      </c>
      <c r="L14" s="21"/>
      <c r="M14" s="22">
        <v>46209</v>
      </c>
      <c r="N14" s="24">
        <f t="shared" si="0"/>
        <v>0</v>
      </c>
      <c r="O14" s="24" t="str">
        <f>IF(N14="","",IF(N14&lt;=Settings!$B$6,"Pass","Late"))</f>
        <v>Pass</v>
      </c>
      <c r="P14" s="21"/>
      <c r="Q14" s="22"/>
      <c r="R14" s="24" t="str">
        <f>IF(Q14="","",IF(Q14&lt;Settings!$B$3,"Overdue",IF(Q14-Settings!$B$3&lt;=Settings!$B$7,"Due this week","Scheduled")))</f>
        <v/>
      </c>
    </row>
    <row r="15" spans="1:18" x14ac:dyDescent="0.2">
      <c r="A15" s="21" t="s">
        <v>187</v>
      </c>
      <c r="B15" s="21" t="s">
        <v>102</v>
      </c>
      <c r="C15" s="21" t="s">
        <v>170</v>
      </c>
      <c r="D15" s="21" t="s">
        <v>161</v>
      </c>
      <c r="E15" s="21" t="s">
        <v>86</v>
      </c>
      <c r="F15" s="22">
        <v>46204</v>
      </c>
      <c r="G15" s="22">
        <v>46216</v>
      </c>
      <c r="H15" s="22"/>
      <c r="I15" s="24" t="str">
        <f>IF(H15="","",H15-Settings!$B$3)</f>
        <v/>
      </c>
      <c r="J15" s="24" t="str">
        <f>IF(E15="Not started","Missing",IF(AND(H15&lt;&gt;"",H15&lt;Settings!$B$3),"Expired",IF(AND(H15&lt;&gt;"",H15-Settings!$B$3&lt;=Settings!$B$4),"Expiring soon",IF(E15="Filed in eTMF","OK","In progress"))))</f>
        <v>OK</v>
      </c>
      <c r="K15" s="21" t="s">
        <v>162</v>
      </c>
      <c r="L15" s="21"/>
      <c r="M15" s="22">
        <v>46218</v>
      </c>
      <c r="N15" s="24">
        <f t="shared" si="0"/>
        <v>2</v>
      </c>
      <c r="O15" s="24" t="str">
        <f>IF(N15="","",IF(N15&lt;=Settings!$B$6,"Pass","Late"))</f>
        <v>Pass</v>
      </c>
      <c r="P15" s="21"/>
      <c r="Q15" s="22"/>
      <c r="R15" s="24" t="str">
        <f>IF(Q15="","",IF(Q15&lt;Settings!$B$3,"Overdue",IF(Q15-Settings!$B$3&lt;=Settings!$B$7,"Due this week","Scheduled")))</f>
        <v/>
      </c>
    </row>
    <row r="16" spans="1:18" x14ac:dyDescent="0.2">
      <c r="A16" s="21" t="s">
        <v>188</v>
      </c>
      <c r="B16" s="21" t="s">
        <v>102</v>
      </c>
      <c r="C16" s="21" t="s">
        <v>172</v>
      </c>
      <c r="D16" s="21" t="s">
        <v>161</v>
      </c>
      <c r="E16" s="21" t="s">
        <v>86</v>
      </c>
      <c r="F16" s="22">
        <v>46207</v>
      </c>
      <c r="G16" s="22">
        <v>46213</v>
      </c>
      <c r="H16" s="22"/>
      <c r="I16" s="24" t="str">
        <f>IF(H16="","",H16-Settings!$B$3)</f>
        <v/>
      </c>
      <c r="J16" s="24" t="str">
        <f>IF(E16="Not started","Missing",IF(AND(H16&lt;&gt;"",H16&lt;Settings!$B$3),"Expired",IF(AND(H16&lt;&gt;"",H16-Settings!$B$3&lt;=Settings!$B$4),"Expiring soon",IF(E16="Filed in eTMF","OK","In progress"))))</f>
        <v>OK</v>
      </c>
      <c r="K16" s="21" t="s">
        <v>162</v>
      </c>
      <c r="L16" s="21"/>
      <c r="M16" s="22">
        <v>46218</v>
      </c>
      <c r="N16" s="24">
        <f t="shared" si="0"/>
        <v>5</v>
      </c>
      <c r="O16" s="24" t="str">
        <f>IF(N16="","",IF(N16&lt;=Settings!$B$6,"Pass","Late"))</f>
        <v>Pass</v>
      </c>
      <c r="P16" s="21"/>
      <c r="Q16" s="22"/>
      <c r="R16" s="24" t="str">
        <f>IF(Q16="","",IF(Q16&lt;Settings!$B$3,"Overdue",IF(Q16-Settings!$B$3&lt;=Settings!$B$7,"Due this week","Scheduled")))</f>
        <v/>
      </c>
    </row>
    <row r="17" spans="1:18" ht="30" x14ac:dyDescent="0.2">
      <c r="A17" s="21" t="s">
        <v>189</v>
      </c>
      <c r="B17" s="21" t="s">
        <v>102</v>
      </c>
      <c r="C17" s="21" t="s">
        <v>174</v>
      </c>
      <c r="D17" s="21" t="s">
        <v>161</v>
      </c>
      <c r="E17" s="21" t="s">
        <v>86</v>
      </c>
      <c r="F17" s="22">
        <v>46210</v>
      </c>
      <c r="G17" s="22">
        <v>46226</v>
      </c>
      <c r="H17" s="22"/>
      <c r="I17" s="24" t="str">
        <f>IF(H17="","",H17-Settings!$B$3)</f>
        <v/>
      </c>
      <c r="J17" s="24" t="str">
        <f>IF(E17="Not started","Missing",IF(AND(H17&lt;&gt;"",H17&lt;Settings!$B$3),"Expired",IF(AND(H17&lt;&gt;"",H17-Settings!$B$3&lt;=Settings!$B$4),"Expiring soon",IF(E17="Filed in eTMF","OK","In progress"))))</f>
        <v>OK</v>
      </c>
      <c r="K17" s="21" t="s">
        <v>162</v>
      </c>
      <c r="L17" s="21"/>
      <c r="M17" s="22">
        <v>46231</v>
      </c>
      <c r="N17" s="24">
        <f t="shared" si="0"/>
        <v>5</v>
      </c>
      <c r="O17" s="24" t="str">
        <f>IF(N17="","",IF(N17&lt;=Settings!$B$6,"Pass","Late"))</f>
        <v>Pass</v>
      </c>
      <c r="P17" s="21"/>
      <c r="Q17" s="22"/>
      <c r="R17" s="24" t="str">
        <f>IF(Q17="","",IF(Q17&lt;Settings!$B$3,"Overdue",IF(Q17-Settings!$B$3&lt;=Settings!$B$7,"Due this week","Scheduled")))</f>
        <v/>
      </c>
    </row>
    <row r="18" spans="1:18" x14ac:dyDescent="0.2">
      <c r="A18" s="21" t="s">
        <v>190</v>
      </c>
      <c r="B18" s="21" t="s">
        <v>102</v>
      </c>
      <c r="C18" s="21" t="s">
        <v>176</v>
      </c>
      <c r="D18" s="21" t="s">
        <v>161</v>
      </c>
      <c r="E18" s="21" t="s">
        <v>86</v>
      </c>
      <c r="F18" s="22">
        <v>46213</v>
      </c>
      <c r="G18" s="22">
        <v>46237</v>
      </c>
      <c r="H18" s="22">
        <v>46295</v>
      </c>
      <c r="I18" s="24">
        <f>IF(H18="","",H18-Settings!$B$3)</f>
        <v>-9</v>
      </c>
      <c r="J18" s="24" t="str">
        <f>IF(E18="Not started","Missing",IF(AND(H18&lt;&gt;"",H18&lt;Settings!$B$3),"Expired",IF(AND(H18&lt;&gt;"",H18-Settings!$B$3&lt;=Settings!$B$4),"Expiring soon",IF(E18="Filed in eTMF","OK","In progress"))))</f>
        <v>Expired</v>
      </c>
      <c r="K18" s="21" t="s">
        <v>162</v>
      </c>
      <c r="L18" s="21" t="s">
        <v>191</v>
      </c>
      <c r="M18" s="22">
        <v>46243</v>
      </c>
      <c r="N18" s="24">
        <f t="shared" si="0"/>
        <v>6</v>
      </c>
      <c r="O18" s="24" t="str">
        <f>IF(N18="","",IF(N18&lt;=Settings!$B$6,"Pass","Late"))</f>
        <v>Pass</v>
      </c>
      <c r="P18" s="21" t="s">
        <v>192</v>
      </c>
      <c r="Q18" s="22">
        <v>46307</v>
      </c>
      <c r="R18" s="24" t="str">
        <f>IF(Q18="","",IF(Q18&lt;Settings!$B$3,"Overdue",IF(Q18-Settings!$B$3&lt;=Settings!$B$7,"Due this week","Scheduled")))</f>
        <v>Due this week</v>
      </c>
    </row>
    <row r="19" spans="1:18" x14ac:dyDescent="0.2">
      <c r="A19" s="21" t="s">
        <v>193</v>
      </c>
      <c r="B19" s="21" t="s">
        <v>102</v>
      </c>
      <c r="C19" s="21" t="s">
        <v>178</v>
      </c>
      <c r="D19" s="21" t="s">
        <v>161</v>
      </c>
      <c r="E19" s="21" t="s">
        <v>86</v>
      </c>
      <c r="F19" s="22">
        <v>46216</v>
      </c>
      <c r="G19" s="22">
        <v>46229</v>
      </c>
      <c r="H19" s="22"/>
      <c r="I19" s="24" t="str">
        <f>IF(H19="","",H19-Settings!$B$3)</f>
        <v/>
      </c>
      <c r="J19" s="24" t="str">
        <f>IF(E19="Not started","Missing",IF(AND(H19&lt;&gt;"",H19&lt;Settings!$B$3),"Expired",IF(AND(H19&lt;&gt;"",H19-Settings!$B$3&lt;=Settings!$B$4),"Expiring soon",IF(E19="Filed in eTMF","OK","In progress"))))</f>
        <v>OK</v>
      </c>
      <c r="K19" s="21" t="s">
        <v>162</v>
      </c>
      <c r="L19" s="21"/>
      <c r="M19" s="22">
        <v>46241</v>
      </c>
      <c r="N19" s="24">
        <f t="shared" si="0"/>
        <v>12</v>
      </c>
      <c r="O19" s="24" t="str">
        <f>IF(N19="","",IF(N19&lt;=Settings!$B$6,"Pass","Late"))</f>
        <v>Late</v>
      </c>
      <c r="P19" s="21"/>
      <c r="Q19" s="22"/>
      <c r="R19" s="24" t="str">
        <f>IF(Q19="","",IF(Q19&lt;Settings!$B$3,"Overdue",IF(Q19-Settings!$B$3&lt;=Settings!$B$7,"Due this week","Scheduled")))</f>
        <v/>
      </c>
    </row>
    <row r="20" spans="1:18" x14ac:dyDescent="0.2">
      <c r="A20" s="21" t="s">
        <v>194</v>
      </c>
      <c r="B20" s="21" t="s">
        <v>102</v>
      </c>
      <c r="C20" s="21" t="s">
        <v>180</v>
      </c>
      <c r="D20" s="21" t="s">
        <v>181</v>
      </c>
      <c r="E20" s="21" t="s">
        <v>86</v>
      </c>
      <c r="F20" s="22">
        <v>46219</v>
      </c>
      <c r="G20" s="22">
        <v>46234</v>
      </c>
      <c r="H20" s="22">
        <v>46889</v>
      </c>
      <c r="I20" s="24">
        <f>IF(H20="","",H20-Settings!$B$3)</f>
        <v>585</v>
      </c>
      <c r="J20" s="24" t="str">
        <f>IF(E20="Not started","Missing",IF(AND(H20&lt;&gt;"",H20&lt;Settings!$B$3),"Expired",IF(AND(H20&lt;&gt;"",H20-Settings!$B$3&lt;=Settings!$B$4),"Expiring soon",IF(E20="Filed in eTMF","OK","In progress"))))</f>
        <v>OK</v>
      </c>
      <c r="K20" s="21" t="s">
        <v>162</v>
      </c>
      <c r="L20" s="21"/>
      <c r="M20" s="22">
        <v>46234</v>
      </c>
      <c r="N20" s="24">
        <f t="shared" si="0"/>
        <v>0</v>
      </c>
      <c r="O20" s="24" t="str">
        <f>IF(N20="","",IF(N20&lt;=Settings!$B$6,"Pass","Late"))</f>
        <v>Pass</v>
      </c>
      <c r="P20" s="21"/>
      <c r="Q20" s="22"/>
      <c r="R20" s="24" t="str">
        <f>IF(Q20="","",IF(Q20&lt;Settings!$B$3,"Overdue",IF(Q20-Settings!$B$3&lt;=Settings!$B$7,"Due this week","Scheduled")))</f>
        <v/>
      </c>
    </row>
    <row r="21" spans="1:18" x14ac:dyDescent="0.2">
      <c r="A21" s="21" t="s">
        <v>195</v>
      </c>
      <c r="B21" s="21" t="s">
        <v>102</v>
      </c>
      <c r="C21" s="21" t="s">
        <v>183</v>
      </c>
      <c r="D21" s="21" t="s">
        <v>181</v>
      </c>
      <c r="E21" s="21" t="s">
        <v>86</v>
      </c>
      <c r="F21" s="22">
        <v>46222</v>
      </c>
      <c r="G21" s="22">
        <v>46230</v>
      </c>
      <c r="H21" s="22"/>
      <c r="I21" s="24" t="str">
        <f>IF(H21="","",H21-Settings!$B$3)</f>
        <v/>
      </c>
      <c r="J21" s="24" t="str">
        <f>IF(E21="Not started","Missing",IF(AND(H21&lt;&gt;"",H21&lt;Settings!$B$3),"Expired",IF(AND(H21&lt;&gt;"",H21-Settings!$B$3&lt;=Settings!$B$4),"Expiring soon",IF(E21="Filed in eTMF","OK","In progress"))))</f>
        <v>OK</v>
      </c>
      <c r="K21" s="21" t="s">
        <v>162</v>
      </c>
      <c r="L21" s="21"/>
      <c r="M21" s="22">
        <v>46235</v>
      </c>
      <c r="N21" s="24">
        <f t="shared" si="0"/>
        <v>5</v>
      </c>
      <c r="O21" s="24" t="str">
        <f>IF(N21="","",IF(N21&lt;=Settings!$B$6,"Pass","Late"))</f>
        <v>Pass</v>
      </c>
      <c r="P21" s="21"/>
      <c r="Q21" s="22"/>
      <c r="R21" s="24" t="str">
        <f>IF(Q21="","",IF(Q21&lt;Settings!$B$3,"Overdue",IF(Q21-Settings!$B$3&lt;=Settings!$B$7,"Due this week","Scheduled")))</f>
        <v/>
      </c>
    </row>
    <row r="22" spans="1:18" x14ac:dyDescent="0.2">
      <c r="A22" s="21" t="s">
        <v>196</v>
      </c>
      <c r="B22" s="21" t="s">
        <v>106</v>
      </c>
      <c r="C22" s="21" t="s">
        <v>160</v>
      </c>
      <c r="D22" s="21" t="s">
        <v>161</v>
      </c>
      <c r="E22" s="21" t="s">
        <v>86</v>
      </c>
      <c r="F22" s="22">
        <v>46244</v>
      </c>
      <c r="G22" s="22">
        <v>46258</v>
      </c>
      <c r="H22" s="22"/>
      <c r="I22" s="24" t="str">
        <f>IF(H22="","",H22-Settings!$B$3)</f>
        <v/>
      </c>
      <c r="J22" s="24" t="str">
        <f>IF(E22="Not started","Missing",IF(AND(H22&lt;&gt;"",H22&lt;Settings!$B$3),"Expired",IF(AND(H22&lt;&gt;"",H22-Settings!$B$3&lt;=Settings!$B$4),"Expiring soon",IF(E22="Filed in eTMF","OK","In progress"))))</f>
        <v>OK</v>
      </c>
      <c r="K22" s="21" t="s">
        <v>162</v>
      </c>
      <c r="L22" s="21"/>
      <c r="M22" s="22">
        <v>46262</v>
      </c>
      <c r="N22" s="24">
        <f t="shared" si="0"/>
        <v>4</v>
      </c>
      <c r="O22" s="24" t="str">
        <f>IF(N22="","",IF(N22&lt;=Settings!$B$6,"Pass","Late"))</f>
        <v>Pass</v>
      </c>
      <c r="P22" s="21"/>
      <c r="Q22" s="22"/>
      <c r="R22" s="24" t="str">
        <f>IF(Q22="","",IF(Q22&lt;Settings!$B$3,"Overdue",IF(Q22-Settings!$B$3&lt;=Settings!$B$7,"Due this week","Scheduled")))</f>
        <v/>
      </c>
    </row>
    <row r="23" spans="1:18" x14ac:dyDescent="0.2">
      <c r="A23" s="21" t="s">
        <v>197</v>
      </c>
      <c r="B23" s="21" t="s">
        <v>106</v>
      </c>
      <c r="C23" s="21" t="s">
        <v>164</v>
      </c>
      <c r="D23" s="21" t="s">
        <v>161</v>
      </c>
      <c r="E23" s="21" t="s">
        <v>86</v>
      </c>
      <c r="F23" s="22">
        <v>46247</v>
      </c>
      <c r="G23" s="22">
        <v>46270</v>
      </c>
      <c r="H23" s="22"/>
      <c r="I23" s="24" t="str">
        <f>IF(H23="","",H23-Settings!$B$3)</f>
        <v/>
      </c>
      <c r="J23" s="24" t="str">
        <f>IF(E23="Not started","Missing",IF(AND(H23&lt;&gt;"",H23&lt;Settings!$B$3),"Expired",IF(AND(H23&lt;&gt;"",H23-Settings!$B$3&lt;=Settings!$B$4),"Expiring soon",IF(E23="Filed in eTMF","OK","In progress"))))</f>
        <v>OK</v>
      </c>
      <c r="K23" s="21" t="s">
        <v>162</v>
      </c>
      <c r="L23" s="21"/>
      <c r="M23" s="22">
        <v>46271</v>
      </c>
      <c r="N23" s="24">
        <f t="shared" si="0"/>
        <v>1</v>
      </c>
      <c r="O23" s="24" t="str">
        <f>IF(N23="","",IF(N23&lt;=Settings!$B$6,"Pass","Late"))</f>
        <v>Pass</v>
      </c>
      <c r="P23" s="21"/>
      <c r="Q23" s="22"/>
      <c r="R23" s="24" t="str">
        <f>IF(Q23="","",IF(Q23&lt;Settings!$B$3,"Overdue",IF(Q23-Settings!$B$3&lt;=Settings!$B$7,"Due this week","Scheduled")))</f>
        <v/>
      </c>
    </row>
    <row r="24" spans="1:18" ht="30" x14ac:dyDescent="0.2">
      <c r="A24" s="21" t="s">
        <v>198</v>
      </c>
      <c r="B24" s="21" t="s">
        <v>106</v>
      </c>
      <c r="C24" s="21" t="s">
        <v>166</v>
      </c>
      <c r="D24" s="21" t="s">
        <v>161</v>
      </c>
      <c r="E24" s="21" t="s">
        <v>86</v>
      </c>
      <c r="F24" s="22">
        <v>46250</v>
      </c>
      <c r="G24" s="22">
        <v>46264</v>
      </c>
      <c r="H24" s="22">
        <v>46323</v>
      </c>
      <c r="I24" s="24">
        <f>IF(H24="","",H24-Settings!$B$3)</f>
        <v>19</v>
      </c>
      <c r="J24" s="24" t="str">
        <f>IF(E24="Not started","Missing",IF(AND(H24&lt;&gt;"",H24&lt;Settings!$B$3),"Expired",IF(AND(H24&lt;&gt;"",H24-Settings!$B$3&lt;=Settings!$B$4),"Expiring soon",IF(E24="Filed in eTMF","OK","In progress"))))</f>
        <v>Expiring soon</v>
      </c>
      <c r="K24" s="21" t="s">
        <v>162</v>
      </c>
      <c r="L24" s="21" t="s">
        <v>199</v>
      </c>
      <c r="M24" s="22">
        <v>46266</v>
      </c>
      <c r="N24" s="24">
        <f t="shared" si="0"/>
        <v>2</v>
      </c>
      <c r="O24" s="24" t="str">
        <f>IF(N24="","",IF(N24&lt;=Settings!$B$6,"Pass","Late"))</f>
        <v>Pass</v>
      </c>
      <c r="P24" s="21" t="s">
        <v>168</v>
      </c>
      <c r="Q24" s="22">
        <v>46302</v>
      </c>
      <c r="R24" s="24" t="str">
        <f>IF(Q24="","",IF(Q24&lt;Settings!$B$3,"Overdue",IF(Q24-Settings!$B$3&lt;=Settings!$B$7,"Due this week","Scheduled")))</f>
        <v>Overdue</v>
      </c>
    </row>
    <row r="25" spans="1:18" x14ac:dyDescent="0.2">
      <c r="A25" s="21" t="s">
        <v>200</v>
      </c>
      <c r="B25" s="21" t="s">
        <v>106</v>
      </c>
      <c r="C25" s="21" t="s">
        <v>170</v>
      </c>
      <c r="D25" s="21" t="s">
        <v>161</v>
      </c>
      <c r="E25" s="21" t="s">
        <v>86</v>
      </c>
      <c r="F25" s="22">
        <v>46253</v>
      </c>
      <c r="G25" s="22">
        <v>46275</v>
      </c>
      <c r="H25" s="22"/>
      <c r="I25" s="24" t="str">
        <f>IF(H25="","",H25-Settings!$B$3)</f>
        <v/>
      </c>
      <c r="J25" s="24" t="str">
        <f>IF(E25="Not started","Missing",IF(AND(H25&lt;&gt;"",H25&lt;Settings!$B$3),"Expired",IF(AND(H25&lt;&gt;"",H25-Settings!$B$3&lt;=Settings!$B$4),"Expiring soon",IF(E25="Filed in eTMF","OK","In progress"))))</f>
        <v>OK</v>
      </c>
      <c r="K25" s="21" t="s">
        <v>162</v>
      </c>
      <c r="L25" s="21"/>
      <c r="M25" s="22">
        <v>46278</v>
      </c>
      <c r="N25" s="24">
        <f t="shared" si="0"/>
        <v>3</v>
      </c>
      <c r="O25" s="24" t="str">
        <f>IF(N25="","",IF(N25&lt;=Settings!$B$6,"Pass","Late"))</f>
        <v>Pass</v>
      </c>
      <c r="P25" s="21"/>
      <c r="Q25" s="22"/>
      <c r="R25" s="24" t="str">
        <f>IF(Q25="","",IF(Q25&lt;Settings!$B$3,"Overdue",IF(Q25-Settings!$B$3&lt;=Settings!$B$7,"Due this week","Scheduled")))</f>
        <v/>
      </c>
    </row>
    <row r="26" spans="1:18" x14ac:dyDescent="0.2">
      <c r="A26" s="21" t="s">
        <v>201</v>
      </c>
      <c r="B26" s="21" t="s">
        <v>106</v>
      </c>
      <c r="C26" s="21" t="s">
        <v>172</v>
      </c>
      <c r="D26" s="21" t="s">
        <v>161</v>
      </c>
      <c r="E26" s="21" t="s">
        <v>86</v>
      </c>
      <c r="F26" s="22">
        <v>46256</v>
      </c>
      <c r="G26" s="22">
        <v>46262</v>
      </c>
      <c r="H26" s="22"/>
      <c r="I26" s="24" t="str">
        <f>IF(H26="","",H26-Settings!$B$3)</f>
        <v/>
      </c>
      <c r="J26" s="24" t="str">
        <f>IF(E26="Not started","Missing",IF(AND(H26&lt;&gt;"",H26&lt;Settings!$B$3),"Expired",IF(AND(H26&lt;&gt;"",H26-Settings!$B$3&lt;=Settings!$B$4),"Expiring soon",IF(E26="Filed in eTMF","OK","In progress"))))</f>
        <v>OK</v>
      </c>
      <c r="K26" s="21" t="s">
        <v>162</v>
      </c>
      <c r="L26" s="21"/>
      <c r="M26" s="22">
        <v>46263</v>
      </c>
      <c r="N26" s="24">
        <f t="shared" si="0"/>
        <v>1</v>
      </c>
      <c r="O26" s="24" t="str">
        <f>IF(N26="","",IF(N26&lt;=Settings!$B$6,"Pass","Late"))</f>
        <v>Pass</v>
      </c>
      <c r="P26" s="21"/>
      <c r="Q26" s="22"/>
      <c r="R26" s="24" t="str">
        <f>IF(Q26="","",IF(Q26&lt;Settings!$B$3,"Overdue",IF(Q26-Settings!$B$3&lt;=Settings!$B$7,"Due this week","Scheduled")))</f>
        <v/>
      </c>
    </row>
    <row r="27" spans="1:18" ht="30" x14ac:dyDescent="0.2">
      <c r="A27" s="21" t="s">
        <v>202</v>
      </c>
      <c r="B27" s="21" t="s">
        <v>106</v>
      </c>
      <c r="C27" s="21" t="s">
        <v>174</v>
      </c>
      <c r="D27" s="21" t="s">
        <v>161</v>
      </c>
      <c r="E27" s="21" t="s">
        <v>86</v>
      </c>
      <c r="F27" s="22">
        <v>46259</v>
      </c>
      <c r="G27" s="22">
        <v>46283</v>
      </c>
      <c r="H27" s="22"/>
      <c r="I27" s="24" t="str">
        <f>IF(H27="","",H27-Settings!$B$3)</f>
        <v/>
      </c>
      <c r="J27" s="24" t="str">
        <f>IF(E27="Not started","Missing",IF(AND(H27&lt;&gt;"",H27&lt;Settings!$B$3),"Expired",IF(AND(H27&lt;&gt;"",H27-Settings!$B$3&lt;=Settings!$B$4),"Expiring soon",IF(E27="Filed in eTMF","OK","In progress"))))</f>
        <v>OK</v>
      </c>
      <c r="K27" s="21" t="s">
        <v>162</v>
      </c>
      <c r="L27" s="21"/>
      <c r="M27" s="22">
        <v>46284</v>
      </c>
      <c r="N27" s="24">
        <f t="shared" si="0"/>
        <v>1</v>
      </c>
      <c r="O27" s="24" t="str">
        <f>IF(N27="","",IF(N27&lt;=Settings!$B$6,"Pass","Late"))</f>
        <v>Pass</v>
      </c>
      <c r="P27" s="21"/>
      <c r="Q27" s="22"/>
      <c r="R27" s="24" t="str">
        <f>IF(Q27="","",IF(Q27&lt;Settings!$B$3,"Overdue",IF(Q27-Settings!$B$3&lt;=Settings!$B$7,"Due this week","Scheduled")))</f>
        <v/>
      </c>
    </row>
    <row r="28" spans="1:18" x14ac:dyDescent="0.2">
      <c r="A28" s="21" t="s">
        <v>203</v>
      </c>
      <c r="B28" s="21" t="s">
        <v>106</v>
      </c>
      <c r="C28" s="21" t="s">
        <v>176</v>
      </c>
      <c r="D28" s="21" t="s">
        <v>161</v>
      </c>
      <c r="E28" s="21" t="s">
        <v>84</v>
      </c>
      <c r="F28" s="22">
        <v>46262</v>
      </c>
      <c r="G28" s="22">
        <v>46280</v>
      </c>
      <c r="H28" s="22">
        <v>46735</v>
      </c>
      <c r="I28" s="24">
        <f>IF(H28="","",H28-Settings!$B$3)</f>
        <v>431</v>
      </c>
      <c r="J28" s="24" t="str">
        <f>IF(E28="Not started","Missing",IF(AND(H28&lt;&gt;"",H28&lt;Settings!$B$3),"Expired",IF(AND(H28&lt;&gt;"",H28-Settings!$B$3&lt;=Settings!$B$4),"Expiring soon",IF(E28="Filed in eTMF","OK","In progress"))))</f>
        <v>In progress</v>
      </c>
      <c r="K28" s="21" t="s">
        <v>162</v>
      </c>
      <c r="L28" s="21"/>
      <c r="M28" s="22"/>
      <c r="N28" s="24" t="str">
        <f t="shared" si="0"/>
        <v/>
      </c>
      <c r="O28" s="24" t="str">
        <f>IF(N28="","",IF(N28&lt;=Settings!$B$6,"Pass","Late"))</f>
        <v/>
      </c>
      <c r="P28" s="21" t="s">
        <v>204</v>
      </c>
      <c r="Q28" s="22">
        <v>46306</v>
      </c>
      <c r="R28" s="24" t="str">
        <f>IF(Q28="","",IF(Q28&lt;Settings!$B$3,"Overdue",IF(Q28-Settings!$B$3&lt;=Settings!$B$7,"Due this week","Scheduled")))</f>
        <v>Due this week</v>
      </c>
    </row>
    <row r="29" spans="1:18" x14ac:dyDescent="0.2">
      <c r="A29" s="21" t="s">
        <v>205</v>
      </c>
      <c r="B29" s="21" t="s">
        <v>106</v>
      </c>
      <c r="C29" s="21" t="s">
        <v>178</v>
      </c>
      <c r="D29" s="21" t="s">
        <v>161</v>
      </c>
      <c r="E29" s="21" t="s">
        <v>84</v>
      </c>
      <c r="F29" s="22">
        <v>46265</v>
      </c>
      <c r="G29" s="22">
        <v>46283</v>
      </c>
      <c r="H29" s="22"/>
      <c r="I29" s="24" t="str">
        <f>IF(H29="","",H29-Settings!$B$3)</f>
        <v/>
      </c>
      <c r="J29" s="24" t="str">
        <f>IF(E29="Not started","Missing",IF(AND(H29&lt;&gt;"",H29&lt;Settings!$B$3),"Expired",IF(AND(H29&lt;&gt;"",H29-Settings!$B$3&lt;=Settings!$B$4),"Expiring soon",IF(E29="Filed in eTMF","OK","In progress"))))</f>
        <v>In progress</v>
      </c>
      <c r="K29" s="21" t="s">
        <v>162</v>
      </c>
      <c r="L29" s="21"/>
      <c r="M29" s="22"/>
      <c r="N29" s="24" t="str">
        <f t="shared" si="0"/>
        <v/>
      </c>
      <c r="O29" s="24" t="str">
        <f>IF(N29="","",IF(N29&lt;=Settings!$B$6,"Pass","Late"))</f>
        <v/>
      </c>
      <c r="P29" s="21" t="s">
        <v>204</v>
      </c>
      <c r="Q29" s="22">
        <v>46304</v>
      </c>
      <c r="R29" s="24" t="str">
        <f>IF(Q29="","",IF(Q29&lt;Settings!$B$3,"Overdue",IF(Q29-Settings!$B$3&lt;=Settings!$B$7,"Due this week","Scheduled")))</f>
        <v>Due this week</v>
      </c>
    </row>
    <row r="30" spans="1:18" x14ac:dyDescent="0.2">
      <c r="A30" s="21" t="s">
        <v>206</v>
      </c>
      <c r="B30" s="21" t="s">
        <v>106</v>
      </c>
      <c r="C30" s="21" t="s">
        <v>180</v>
      </c>
      <c r="D30" s="21" t="s">
        <v>181</v>
      </c>
      <c r="E30" s="21" t="s">
        <v>82</v>
      </c>
      <c r="F30" s="22">
        <v>46268</v>
      </c>
      <c r="G30" s="22"/>
      <c r="H30" s="22"/>
      <c r="I30" s="24" t="str">
        <f>IF(H30="","",H30-Settings!$B$3)</f>
        <v/>
      </c>
      <c r="J30" s="24" t="str">
        <f>IF(E30="Not started","Missing",IF(AND(H30&lt;&gt;"",H30&lt;Settings!$B$3),"Expired",IF(AND(H30&lt;&gt;"",H30-Settings!$B$3&lt;=Settings!$B$4),"Expiring soon",IF(E30="Filed in eTMF","OK","In progress"))))</f>
        <v>In progress</v>
      </c>
      <c r="K30" s="21" t="s">
        <v>162</v>
      </c>
      <c r="L30" s="21"/>
      <c r="M30" s="22"/>
      <c r="N30" s="24" t="str">
        <f t="shared" si="0"/>
        <v/>
      </c>
      <c r="O30" s="24" t="str">
        <f>IF(N30="","",IF(N30&lt;=Settings!$B$6,"Pass","Late"))</f>
        <v/>
      </c>
      <c r="P30" s="21" t="s">
        <v>207</v>
      </c>
      <c r="Q30" s="22">
        <v>46298</v>
      </c>
      <c r="R30" s="24" t="str">
        <f>IF(Q30="","",IF(Q30&lt;Settings!$B$3,"Overdue",IF(Q30-Settings!$B$3&lt;=Settings!$B$7,"Due this week","Scheduled")))</f>
        <v>Overdue</v>
      </c>
    </row>
    <row r="31" spans="1:18" x14ac:dyDescent="0.2">
      <c r="A31" s="21" t="s">
        <v>208</v>
      </c>
      <c r="B31" s="21" t="s">
        <v>106</v>
      </c>
      <c r="C31" s="21" t="s">
        <v>183</v>
      </c>
      <c r="D31" s="21" t="s">
        <v>181</v>
      </c>
      <c r="E31" s="21" t="s">
        <v>53</v>
      </c>
      <c r="F31" s="22"/>
      <c r="G31" s="22"/>
      <c r="H31" s="22"/>
      <c r="I31" s="24" t="str">
        <f>IF(H31="","",H31-Settings!$B$3)</f>
        <v/>
      </c>
      <c r="J31" s="24" t="str">
        <f>IF(E31="Not started","Missing",IF(AND(H31&lt;&gt;"",H31&lt;Settings!$B$3),"Expired",IF(AND(H31&lt;&gt;"",H31-Settings!$B$3&lt;=Settings!$B$4),"Expiring soon",IF(E31="Filed in eTMF","OK","In progress"))))</f>
        <v>Missing</v>
      </c>
      <c r="K31" s="21" t="s">
        <v>162</v>
      </c>
      <c r="L31" s="21"/>
      <c r="M31" s="22"/>
      <c r="N31" s="24" t="str">
        <f t="shared" si="0"/>
        <v/>
      </c>
      <c r="O31" s="24" t="str">
        <f>IF(N31="","",IF(N31&lt;=Settings!$B$6,"Pass","Late"))</f>
        <v/>
      </c>
      <c r="P31" s="21" t="s">
        <v>209</v>
      </c>
      <c r="Q31" s="22">
        <v>46307</v>
      </c>
      <c r="R31" s="24" t="str">
        <f>IF(Q31="","",IF(Q31&lt;Settings!$B$3,"Overdue",IF(Q31-Settings!$B$3&lt;=Settings!$B$7,"Due this week","Scheduled")))</f>
        <v>Due this week</v>
      </c>
    </row>
    <row r="32" spans="1:18" x14ac:dyDescent="0.2">
      <c r="A32" s="21" t="s">
        <v>210</v>
      </c>
      <c r="B32" s="21" t="s">
        <v>110</v>
      </c>
      <c r="C32" s="21" t="s">
        <v>160</v>
      </c>
      <c r="D32" s="21" t="s">
        <v>161</v>
      </c>
      <c r="E32" s="21" t="s">
        <v>86</v>
      </c>
      <c r="F32" s="22">
        <v>46266</v>
      </c>
      <c r="G32" s="22">
        <v>46272</v>
      </c>
      <c r="H32" s="22"/>
      <c r="I32" s="24" t="str">
        <f>IF(H32="","",H32-Settings!$B$3)</f>
        <v/>
      </c>
      <c r="J32" s="24" t="str">
        <f>IF(E32="Not started","Missing",IF(AND(H32&lt;&gt;"",H32&lt;Settings!$B$3),"Expired",IF(AND(H32&lt;&gt;"",H32-Settings!$B$3&lt;=Settings!$B$4),"Expiring soon",IF(E32="Filed in eTMF","OK","In progress"))))</f>
        <v>OK</v>
      </c>
      <c r="K32" s="21" t="s">
        <v>162</v>
      </c>
      <c r="L32" s="21"/>
      <c r="M32" s="22">
        <v>46274</v>
      </c>
      <c r="N32" s="24">
        <f t="shared" si="0"/>
        <v>2</v>
      </c>
      <c r="O32" s="24" t="str">
        <f>IF(N32="","",IF(N32&lt;=Settings!$B$6,"Pass","Late"))</f>
        <v>Pass</v>
      </c>
      <c r="P32" s="21"/>
      <c r="Q32" s="22"/>
      <c r="R32" s="24" t="str">
        <f>IF(Q32="","",IF(Q32&lt;Settings!$B$3,"Overdue",IF(Q32-Settings!$B$3&lt;=Settings!$B$7,"Due this week","Scheduled")))</f>
        <v/>
      </c>
    </row>
    <row r="33" spans="1:18" x14ac:dyDescent="0.2">
      <c r="A33" s="21" t="s">
        <v>211</v>
      </c>
      <c r="B33" s="21" t="s">
        <v>110</v>
      </c>
      <c r="C33" s="21" t="s">
        <v>164</v>
      </c>
      <c r="D33" s="21" t="s">
        <v>161</v>
      </c>
      <c r="E33" s="21" t="s">
        <v>86</v>
      </c>
      <c r="F33" s="22">
        <v>46269</v>
      </c>
      <c r="G33" s="22">
        <v>46281</v>
      </c>
      <c r="H33" s="22"/>
      <c r="I33" s="24" t="str">
        <f>IF(H33="","",H33-Settings!$B$3)</f>
        <v/>
      </c>
      <c r="J33" s="24" t="str">
        <f>IF(E33="Not started","Missing",IF(AND(H33&lt;&gt;"",H33&lt;Settings!$B$3),"Expired",IF(AND(H33&lt;&gt;"",H33-Settings!$B$3&lt;=Settings!$B$4),"Expiring soon",IF(E33="Filed in eTMF","OK","In progress"))))</f>
        <v>OK</v>
      </c>
      <c r="K33" s="21" t="s">
        <v>162</v>
      </c>
      <c r="L33" s="21"/>
      <c r="M33" s="22">
        <v>46281</v>
      </c>
      <c r="N33" s="24">
        <f t="shared" si="0"/>
        <v>0</v>
      </c>
      <c r="O33" s="24" t="str">
        <f>IF(N33="","",IF(N33&lt;=Settings!$B$6,"Pass","Late"))</f>
        <v>Pass</v>
      </c>
      <c r="P33" s="21"/>
      <c r="Q33" s="22"/>
      <c r="R33" s="24" t="str">
        <f>IF(Q33="","",IF(Q33&lt;Settings!$B$3,"Overdue",IF(Q33-Settings!$B$3&lt;=Settings!$B$7,"Due this week","Scheduled")))</f>
        <v/>
      </c>
    </row>
    <row r="34" spans="1:18" x14ac:dyDescent="0.2">
      <c r="A34" s="21" t="s">
        <v>212</v>
      </c>
      <c r="B34" s="21" t="s">
        <v>110</v>
      </c>
      <c r="C34" s="21" t="s">
        <v>166</v>
      </c>
      <c r="D34" s="21" t="s">
        <v>161</v>
      </c>
      <c r="E34" s="21" t="s">
        <v>86</v>
      </c>
      <c r="F34" s="22">
        <v>46272</v>
      </c>
      <c r="G34" s="22">
        <v>46293</v>
      </c>
      <c r="H34" s="22">
        <v>46885</v>
      </c>
      <c r="I34" s="24">
        <f>IF(H34="","",H34-Settings!$B$3)</f>
        <v>581</v>
      </c>
      <c r="J34" s="24" t="str">
        <f>IF(E34="Not started","Missing",IF(AND(H34&lt;&gt;"",H34&lt;Settings!$B$3),"Expired",IF(AND(H34&lt;&gt;"",H34-Settings!$B$3&lt;=Settings!$B$4),"Expiring soon",IF(E34="Filed in eTMF","OK","In progress"))))</f>
        <v>OK</v>
      </c>
      <c r="K34" s="21" t="s">
        <v>162</v>
      </c>
      <c r="L34" s="21"/>
      <c r="M34" s="22">
        <v>46297</v>
      </c>
      <c r="N34" s="24">
        <f t="shared" ref="N34:N65" si="1">IF(OR(M34="",G34=""),"",M34-G34)</f>
        <v>4</v>
      </c>
      <c r="O34" s="24" t="str">
        <f>IF(N34="","",IF(N34&lt;=Settings!$B$6,"Pass","Late"))</f>
        <v>Pass</v>
      </c>
      <c r="P34" s="21"/>
      <c r="Q34" s="22"/>
      <c r="R34" s="24" t="str">
        <f>IF(Q34="","",IF(Q34&lt;Settings!$B$3,"Overdue",IF(Q34-Settings!$B$3&lt;=Settings!$B$7,"Due this week","Scheduled")))</f>
        <v/>
      </c>
    </row>
    <row r="35" spans="1:18" x14ac:dyDescent="0.2">
      <c r="A35" s="21" t="s">
        <v>213</v>
      </c>
      <c r="B35" s="21" t="s">
        <v>110</v>
      </c>
      <c r="C35" s="21" t="s">
        <v>170</v>
      </c>
      <c r="D35" s="21" t="s">
        <v>161</v>
      </c>
      <c r="E35" s="21" t="s">
        <v>84</v>
      </c>
      <c r="F35" s="22">
        <v>46275</v>
      </c>
      <c r="G35" s="22">
        <v>46294</v>
      </c>
      <c r="H35" s="22"/>
      <c r="I35" s="24" t="str">
        <f>IF(H35="","",H35-Settings!$B$3)</f>
        <v/>
      </c>
      <c r="J35" s="24" t="str">
        <f>IF(E35="Not started","Missing",IF(AND(H35&lt;&gt;"",H35&lt;Settings!$B$3),"Expired",IF(AND(H35&lt;&gt;"",H35-Settings!$B$3&lt;=Settings!$B$4),"Expiring soon",IF(E35="Filed in eTMF","OK","In progress"))))</f>
        <v>In progress</v>
      </c>
      <c r="K35" s="21" t="s">
        <v>162</v>
      </c>
      <c r="L35" s="21"/>
      <c r="M35" s="22"/>
      <c r="N35" s="24" t="str">
        <f t="shared" si="1"/>
        <v/>
      </c>
      <c r="O35" s="24" t="str">
        <f>IF(N35="","",IF(N35&lt;=Settings!$B$6,"Pass","Late"))</f>
        <v/>
      </c>
      <c r="P35" s="21" t="s">
        <v>204</v>
      </c>
      <c r="Q35" s="22">
        <v>46304</v>
      </c>
      <c r="R35" s="24" t="str">
        <f>IF(Q35="","",IF(Q35&lt;Settings!$B$3,"Overdue",IF(Q35-Settings!$B$3&lt;=Settings!$B$7,"Due this week","Scheduled")))</f>
        <v>Due this week</v>
      </c>
    </row>
    <row r="36" spans="1:18" x14ac:dyDescent="0.2">
      <c r="A36" s="21" t="s">
        <v>214</v>
      </c>
      <c r="B36" s="21" t="s">
        <v>110</v>
      </c>
      <c r="C36" s="21" t="s">
        <v>172</v>
      </c>
      <c r="D36" s="21" t="s">
        <v>161</v>
      </c>
      <c r="E36" s="21" t="s">
        <v>84</v>
      </c>
      <c r="F36" s="22">
        <v>46278</v>
      </c>
      <c r="G36" s="22">
        <v>46302</v>
      </c>
      <c r="H36" s="22"/>
      <c r="I36" s="24" t="str">
        <f>IF(H36="","",H36-Settings!$B$3)</f>
        <v/>
      </c>
      <c r="J36" s="24" t="str">
        <f>IF(E36="Not started","Missing",IF(AND(H36&lt;&gt;"",H36&lt;Settings!$B$3),"Expired",IF(AND(H36&lt;&gt;"",H36-Settings!$B$3&lt;=Settings!$B$4),"Expiring soon",IF(E36="Filed in eTMF","OK","In progress"))))</f>
        <v>In progress</v>
      </c>
      <c r="K36" s="21" t="s">
        <v>162</v>
      </c>
      <c r="L36" s="21"/>
      <c r="M36" s="22"/>
      <c r="N36" s="24" t="str">
        <f t="shared" si="1"/>
        <v/>
      </c>
      <c r="O36" s="24" t="str">
        <f>IF(N36="","",IF(N36&lt;=Settings!$B$6,"Pass","Late"))</f>
        <v/>
      </c>
      <c r="P36" s="21" t="s">
        <v>204</v>
      </c>
      <c r="Q36" s="22">
        <v>46305</v>
      </c>
      <c r="R36" s="24" t="str">
        <f>IF(Q36="","",IF(Q36&lt;Settings!$B$3,"Overdue",IF(Q36-Settings!$B$3&lt;=Settings!$B$7,"Due this week","Scheduled")))</f>
        <v>Due this week</v>
      </c>
    </row>
    <row r="37" spans="1:18" ht="30" x14ac:dyDescent="0.2">
      <c r="A37" s="21" t="s">
        <v>215</v>
      </c>
      <c r="B37" s="21" t="s">
        <v>110</v>
      </c>
      <c r="C37" s="21" t="s">
        <v>174</v>
      </c>
      <c r="D37" s="21" t="s">
        <v>161</v>
      </c>
      <c r="E37" s="21" t="s">
        <v>82</v>
      </c>
      <c r="F37" s="22">
        <v>46281</v>
      </c>
      <c r="G37" s="22"/>
      <c r="H37" s="22"/>
      <c r="I37" s="24" t="str">
        <f>IF(H37="","",H37-Settings!$B$3)</f>
        <v/>
      </c>
      <c r="J37" s="24" t="str">
        <f>IF(E37="Not started","Missing",IF(AND(H37&lt;&gt;"",H37&lt;Settings!$B$3),"Expired",IF(AND(H37&lt;&gt;"",H37-Settings!$B$3&lt;=Settings!$B$4),"Expiring soon",IF(E37="Filed in eTMF","OK","In progress"))))</f>
        <v>In progress</v>
      </c>
      <c r="K37" s="21" t="s">
        <v>162</v>
      </c>
      <c r="L37" s="21" t="s">
        <v>216</v>
      </c>
      <c r="M37" s="22"/>
      <c r="N37" s="24" t="str">
        <f t="shared" si="1"/>
        <v/>
      </c>
      <c r="O37" s="24" t="str">
        <f>IF(N37="","",IF(N37&lt;=Settings!$B$6,"Pass","Late"))</f>
        <v/>
      </c>
      <c r="P37" s="21" t="s">
        <v>207</v>
      </c>
      <c r="Q37" s="22">
        <v>46302</v>
      </c>
      <c r="R37" s="24" t="str">
        <f>IF(Q37="","",IF(Q37&lt;Settings!$B$3,"Overdue",IF(Q37-Settings!$B$3&lt;=Settings!$B$7,"Due this week","Scheduled")))</f>
        <v>Overdue</v>
      </c>
    </row>
    <row r="38" spans="1:18" x14ac:dyDescent="0.2">
      <c r="A38" s="21" t="s">
        <v>217</v>
      </c>
      <c r="B38" s="21" t="s">
        <v>110</v>
      </c>
      <c r="C38" s="21" t="s">
        <v>176</v>
      </c>
      <c r="D38" s="21" t="s">
        <v>161</v>
      </c>
      <c r="E38" s="21" t="s">
        <v>82</v>
      </c>
      <c r="F38" s="22">
        <v>46284</v>
      </c>
      <c r="G38" s="22"/>
      <c r="H38" s="22"/>
      <c r="I38" s="24" t="str">
        <f>IF(H38="","",H38-Settings!$B$3)</f>
        <v/>
      </c>
      <c r="J38" s="24" t="str">
        <f>IF(E38="Not started","Missing",IF(AND(H38&lt;&gt;"",H38&lt;Settings!$B$3),"Expired",IF(AND(H38&lt;&gt;"",H38-Settings!$B$3&lt;=Settings!$B$4),"Expiring soon",IF(E38="Filed in eTMF","OK","In progress"))))</f>
        <v>In progress</v>
      </c>
      <c r="K38" s="21" t="s">
        <v>162</v>
      </c>
      <c r="L38" s="21"/>
      <c r="M38" s="22"/>
      <c r="N38" s="24" t="str">
        <f t="shared" si="1"/>
        <v/>
      </c>
      <c r="O38" s="24" t="str">
        <f>IF(N38="","",IF(N38&lt;=Settings!$B$6,"Pass","Late"))</f>
        <v/>
      </c>
      <c r="P38" s="21" t="s">
        <v>207</v>
      </c>
      <c r="Q38" s="22">
        <v>46307</v>
      </c>
      <c r="R38" s="24" t="str">
        <f>IF(Q38="","",IF(Q38&lt;Settings!$B$3,"Overdue",IF(Q38-Settings!$B$3&lt;=Settings!$B$7,"Due this week","Scheduled")))</f>
        <v>Due this week</v>
      </c>
    </row>
    <row r="39" spans="1:18" x14ac:dyDescent="0.2">
      <c r="A39" s="21" t="s">
        <v>218</v>
      </c>
      <c r="B39" s="21" t="s">
        <v>110</v>
      </c>
      <c r="C39" s="21" t="s">
        <v>178</v>
      </c>
      <c r="D39" s="21" t="s">
        <v>161</v>
      </c>
      <c r="E39" s="21" t="s">
        <v>82</v>
      </c>
      <c r="F39" s="22">
        <v>46287</v>
      </c>
      <c r="G39" s="22"/>
      <c r="H39" s="22"/>
      <c r="I39" s="24" t="str">
        <f>IF(H39="","",H39-Settings!$B$3)</f>
        <v/>
      </c>
      <c r="J39" s="24" t="str">
        <f>IF(E39="Not started","Missing",IF(AND(H39&lt;&gt;"",H39&lt;Settings!$B$3),"Expired",IF(AND(H39&lt;&gt;"",H39-Settings!$B$3&lt;=Settings!$B$4),"Expiring soon",IF(E39="Filed in eTMF","OK","In progress"))))</f>
        <v>In progress</v>
      </c>
      <c r="K39" s="21" t="s">
        <v>162</v>
      </c>
      <c r="L39" s="21"/>
      <c r="M39" s="22"/>
      <c r="N39" s="24" t="str">
        <f t="shared" si="1"/>
        <v/>
      </c>
      <c r="O39" s="24" t="str">
        <f>IF(N39="","",IF(N39&lt;=Settings!$B$6,"Pass","Late"))</f>
        <v/>
      </c>
      <c r="P39" s="21" t="s">
        <v>207</v>
      </c>
      <c r="Q39" s="22">
        <v>46309</v>
      </c>
      <c r="R39" s="24" t="str">
        <f>IF(Q39="","",IF(Q39&lt;Settings!$B$3,"Overdue",IF(Q39-Settings!$B$3&lt;=Settings!$B$7,"Due this week","Scheduled")))</f>
        <v>Due this week</v>
      </c>
    </row>
    <row r="40" spans="1:18" x14ac:dyDescent="0.2">
      <c r="A40" s="21" t="s">
        <v>219</v>
      </c>
      <c r="B40" s="21" t="s">
        <v>110</v>
      </c>
      <c r="C40" s="21" t="s">
        <v>180</v>
      </c>
      <c r="D40" s="21" t="s">
        <v>181</v>
      </c>
      <c r="E40" s="21" t="s">
        <v>53</v>
      </c>
      <c r="F40" s="22"/>
      <c r="G40" s="22"/>
      <c r="H40" s="22"/>
      <c r="I40" s="24" t="str">
        <f>IF(H40="","",H40-Settings!$B$3)</f>
        <v/>
      </c>
      <c r="J40" s="24" t="str">
        <f>IF(E40="Not started","Missing",IF(AND(H40&lt;&gt;"",H40&lt;Settings!$B$3),"Expired",IF(AND(H40&lt;&gt;"",H40-Settings!$B$3&lt;=Settings!$B$4),"Expiring soon",IF(E40="Filed in eTMF","OK","In progress"))))</f>
        <v>Missing</v>
      </c>
      <c r="K40" s="21" t="s">
        <v>162</v>
      </c>
      <c r="L40" s="21"/>
      <c r="M40" s="22"/>
      <c r="N40" s="24" t="str">
        <f t="shared" si="1"/>
        <v/>
      </c>
      <c r="O40" s="24" t="str">
        <f>IF(N40="","",IF(N40&lt;=Settings!$B$6,"Pass","Late"))</f>
        <v/>
      </c>
      <c r="P40" s="21" t="s">
        <v>209</v>
      </c>
      <c r="Q40" s="22">
        <v>46311</v>
      </c>
      <c r="R40" s="24" t="str">
        <f>IF(Q40="","",IF(Q40&lt;Settings!$B$3,"Overdue",IF(Q40-Settings!$B$3&lt;=Settings!$B$7,"Due this week","Scheduled")))</f>
        <v>Due this week</v>
      </c>
    </row>
    <row r="41" spans="1:18" x14ac:dyDescent="0.2">
      <c r="A41" s="21" t="s">
        <v>220</v>
      </c>
      <c r="B41" s="21" t="s">
        <v>110</v>
      </c>
      <c r="C41" s="21" t="s">
        <v>183</v>
      </c>
      <c r="D41" s="21" t="s">
        <v>181</v>
      </c>
      <c r="E41" s="21" t="s">
        <v>53</v>
      </c>
      <c r="F41" s="22"/>
      <c r="G41" s="22"/>
      <c r="H41" s="22"/>
      <c r="I41" s="24" t="str">
        <f>IF(H41="","",H41-Settings!$B$3)</f>
        <v/>
      </c>
      <c r="J41" s="24" t="str">
        <f>IF(E41="Not started","Missing",IF(AND(H41&lt;&gt;"",H41&lt;Settings!$B$3),"Expired",IF(AND(H41&lt;&gt;"",H41-Settings!$B$3&lt;=Settings!$B$4),"Expiring soon",IF(E41="Filed in eTMF","OK","In progress"))))</f>
        <v>Missing</v>
      </c>
      <c r="K41" s="21" t="s">
        <v>162</v>
      </c>
      <c r="L41" s="21"/>
      <c r="M41" s="22"/>
      <c r="N41" s="24" t="str">
        <f t="shared" si="1"/>
        <v/>
      </c>
      <c r="O41" s="24" t="str">
        <f>IF(N41="","",IF(N41&lt;=Settings!$B$6,"Pass","Late"))</f>
        <v/>
      </c>
      <c r="P41" s="21" t="s">
        <v>209</v>
      </c>
      <c r="Q41" s="22">
        <v>46312</v>
      </c>
      <c r="R41" s="24" t="str">
        <f>IF(Q41="","",IF(Q41&lt;Settings!$B$3,"Overdue",IF(Q41-Settings!$B$3&lt;=Settings!$B$7,"Due this week","Scheduled")))</f>
        <v>Scheduled</v>
      </c>
    </row>
    <row r="42" spans="1:18" x14ac:dyDescent="0.2">
      <c r="A42" s="21" t="s">
        <v>221</v>
      </c>
      <c r="B42" s="21" t="s">
        <v>114</v>
      </c>
      <c r="C42" s="21" t="s">
        <v>160</v>
      </c>
      <c r="D42" s="21" t="s">
        <v>161</v>
      </c>
      <c r="E42" s="21" t="s">
        <v>86</v>
      </c>
      <c r="F42" s="22">
        <v>46223</v>
      </c>
      <c r="G42" s="22">
        <v>46231</v>
      </c>
      <c r="H42" s="22"/>
      <c r="I42" s="24" t="str">
        <f>IF(H42="","",H42-Settings!$B$3)</f>
        <v/>
      </c>
      <c r="J42" s="24" t="str">
        <f>IF(E42="Not started","Missing",IF(AND(H42&lt;&gt;"",H42&lt;Settings!$B$3),"Expired",IF(AND(H42&lt;&gt;"",H42-Settings!$B$3&lt;=Settings!$B$4),"Expiring soon",IF(E42="Filed in eTMF","OK","In progress"))))</f>
        <v>OK</v>
      </c>
      <c r="K42" s="21" t="s">
        <v>162</v>
      </c>
      <c r="L42" s="21"/>
      <c r="M42" s="22">
        <v>46234</v>
      </c>
      <c r="N42" s="24">
        <f t="shared" si="1"/>
        <v>3</v>
      </c>
      <c r="O42" s="24" t="str">
        <f>IF(N42="","",IF(N42&lt;=Settings!$B$6,"Pass","Late"))</f>
        <v>Pass</v>
      </c>
      <c r="P42" s="21"/>
      <c r="Q42" s="22"/>
      <c r="R42" s="24" t="str">
        <f>IF(Q42="","",IF(Q42&lt;Settings!$B$3,"Overdue",IF(Q42-Settings!$B$3&lt;=Settings!$B$7,"Due this week","Scheduled")))</f>
        <v/>
      </c>
    </row>
    <row r="43" spans="1:18" x14ac:dyDescent="0.2">
      <c r="A43" s="21" t="s">
        <v>222</v>
      </c>
      <c r="B43" s="21" t="s">
        <v>114</v>
      </c>
      <c r="C43" s="21" t="s">
        <v>164</v>
      </c>
      <c r="D43" s="21" t="s">
        <v>161</v>
      </c>
      <c r="E43" s="21" t="s">
        <v>86</v>
      </c>
      <c r="F43" s="22">
        <v>46226</v>
      </c>
      <c r="G43" s="22">
        <v>46242</v>
      </c>
      <c r="H43" s="22"/>
      <c r="I43" s="24" t="str">
        <f>IF(H43="","",H43-Settings!$B$3)</f>
        <v/>
      </c>
      <c r="J43" s="24" t="str">
        <f>IF(E43="Not started","Missing",IF(AND(H43&lt;&gt;"",H43&lt;Settings!$B$3),"Expired",IF(AND(H43&lt;&gt;"",H43-Settings!$B$3&lt;=Settings!$B$4),"Expiring soon",IF(E43="Filed in eTMF","OK","In progress"))))</f>
        <v>OK</v>
      </c>
      <c r="K43" s="21" t="s">
        <v>162</v>
      </c>
      <c r="L43" s="21"/>
      <c r="M43" s="22">
        <v>46242</v>
      </c>
      <c r="N43" s="24">
        <f t="shared" si="1"/>
        <v>0</v>
      </c>
      <c r="O43" s="24" t="str">
        <f>IF(N43="","",IF(N43&lt;=Settings!$B$6,"Pass","Late"))</f>
        <v>Pass</v>
      </c>
      <c r="P43" s="21"/>
      <c r="Q43" s="22"/>
      <c r="R43" s="24" t="str">
        <f>IF(Q43="","",IF(Q43&lt;Settings!$B$3,"Overdue",IF(Q43-Settings!$B$3&lt;=Settings!$B$7,"Due this week","Scheduled")))</f>
        <v/>
      </c>
    </row>
    <row r="44" spans="1:18" x14ac:dyDescent="0.2">
      <c r="A44" s="21" t="s">
        <v>223</v>
      </c>
      <c r="B44" s="21" t="s">
        <v>114</v>
      </c>
      <c r="C44" s="21" t="s">
        <v>166</v>
      </c>
      <c r="D44" s="21" t="s">
        <v>161</v>
      </c>
      <c r="E44" s="21" t="s">
        <v>86</v>
      </c>
      <c r="F44" s="22">
        <v>46229</v>
      </c>
      <c r="G44" s="22">
        <v>46248</v>
      </c>
      <c r="H44" s="22">
        <v>46708</v>
      </c>
      <c r="I44" s="24">
        <f>IF(H44="","",H44-Settings!$B$3)</f>
        <v>404</v>
      </c>
      <c r="J44" s="24" t="str">
        <f>IF(E44="Not started","Missing",IF(AND(H44&lt;&gt;"",H44&lt;Settings!$B$3),"Expired",IF(AND(H44&lt;&gt;"",H44-Settings!$B$3&lt;=Settings!$B$4),"Expiring soon",IF(E44="Filed in eTMF","OK","In progress"))))</f>
        <v>OK</v>
      </c>
      <c r="K44" s="21" t="s">
        <v>162</v>
      </c>
      <c r="L44" s="21"/>
      <c r="M44" s="22">
        <v>46249</v>
      </c>
      <c r="N44" s="24">
        <f t="shared" si="1"/>
        <v>1</v>
      </c>
      <c r="O44" s="24" t="str">
        <f>IF(N44="","",IF(N44&lt;=Settings!$B$6,"Pass","Late"))</f>
        <v>Pass</v>
      </c>
      <c r="P44" s="21"/>
      <c r="Q44" s="22"/>
      <c r="R44" s="24" t="str">
        <f>IF(Q44="","",IF(Q44&lt;Settings!$B$3,"Overdue",IF(Q44-Settings!$B$3&lt;=Settings!$B$7,"Due this week","Scheduled")))</f>
        <v/>
      </c>
    </row>
    <row r="45" spans="1:18" x14ac:dyDescent="0.2">
      <c r="A45" s="21" t="s">
        <v>224</v>
      </c>
      <c r="B45" s="21" t="s">
        <v>114</v>
      </c>
      <c r="C45" s="21" t="s">
        <v>170</v>
      </c>
      <c r="D45" s="21" t="s">
        <v>161</v>
      </c>
      <c r="E45" s="21" t="s">
        <v>86</v>
      </c>
      <c r="F45" s="22">
        <v>46232</v>
      </c>
      <c r="G45" s="22">
        <v>46245</v>
      </c>
      <c r="H45" s="22"/>
      <c r="I45" s="24" t="str">
        <f>IF(H45="","",H45-Settings!$B$3)</f>
        <v/>
      </c>
      <c r="J45" s="24" t="str">
        <f>IF(E45="Not started","Missing",IF(AND(H45&lt;&gt;"",H45&lt;Settings!$B$3),"Expired",IF(AND(H45&lt;&gt;"",H45-Settings!$B$3&lt;=Settings!$B$4),"Expiring soon",IF(E45="Filed in eTMF","OK","In progress"))))</f>
        <v>OK</v>
      </c>
      <c r="K45" s="21" t="s">
        <v>162</v>
      </c>
      <c r="L45" s="21"/>
      <c r="M45" s="22">
        <v>46246</v>
      </c>
      <c r="N45" s="24">
        <f t="shared" si="1"/>
        <v>1</v>
      </c>
      <c r="O45" s="24" t="str">
        <f>IF(N45="","",IF(N45&lt;=Settings!$B$6,"Pass","Late"))</f>
        <v>Pass</v>
      </c>
      <c r="P45" s="21"/>
      <c r="Q45" s="22"/>
      <c r="R45" s="24" t="str">
        <f>IF(Q45="","",IF(Q45&lt;Settings!$B$3,"Overdue",IF(Q45-Settings!$B$3&lt;=Settings!$B$7,"Due this week","Scheduled")))</f>
        <v/>
      </c>
    </row>
    <row r="46" spans="1:18" x14ac:dyDescent="0.2">
      <c r="A46" s="21" t="s">
        <v>225</v>
      </c>
      <c r="B46" s="21" t="s">
        <v>114</v>
      </c>
      <c r="C46" s="21" t="s">
        <v>172</v>
      </c>
      <c r="D46" s="21" t="s">
        <v>161</v>
      </c>
      <c r="E46" s="21" t="s">
        <v>84</v>
      </c>
      <c r="F46" s="22">
        <v>46235</v>
      </c>
      <c r="G46" s="22">
        <v>46241</v>
      </c>
      <c r="H46" s="22"/>
      <c r="I46" s="24" t="str">
        <f>IF(H46="","",H46-Settings!$B$3)</f>
        <v/>
      </c>
      <c r="J46" s="24" t="str">
        <f>IF(E46="Not started","Missing",IF(AND(H46&lt;&gt;"",H46&lt;Settings!$B$3),"Expired",IF(AND(H46&lt;&gt;"",H46-Settings!$B$3&lt;=Settings!$B$4),"Expiring soon",IF(E46="Filed in eTMF","OK","In progress"))))</f>
        <v>In progress</v>
      </c>
      <c r="K46" s="21" t="s">
        <v>162</v>
      </c>
      <c r="L46" s="21"/>
      <c r="M46" s="22"/>
      <c r="N46" s="24" t="str">
        <f t="shared" si="1"/>
        <v/>
      </c>
      <c r="O46" s="24" t="str">
        <f>IF(N46="","",IF(N46&lt;=Settings!$B$6,"Pass","Late"))</f>
        <v/>
      </c>
      <c r="P46" s="21" t="s">
        <v>226</v>
      </c>
      <c r="Q46" s="22">
        <v>46328</v>
      </c>
      <c r="R46" s="24" t="str">
        <f>IF(Q46="","",IF(Q46&lt;Settings!$B$3,"Overdue",IF(Q46-Settings!$B$3&lt;=Settings!$B$7,"Due this week","Scheduled")))</f>
        <v>Scheduled</v>
      </c>
    </row>
    <row r="47" spans="1:18" ht="30" x14ac:dyDescent="0.2">
      <c r="A47" s="21" t="s">
        <v>227</v>
      </c>
      <c r="B47" s="21" t="s">
        <v>114</v>
      </c>
      <c r="C47" s="21" t="s">
        <v>174</v>
      </c>
      <c r="D47" s="21" t="s">
        <v>161</v>
      </c>
      <c r="E47" s="21" t="s">
        <v>82</v>
      </c>
      <c r="F47" s="22">
        <v>46238</v>
      </c>
      <c r="G47" s="22"/>
      <c r="H47" s="22"/>
      <c r="I47" s="24" t="str">
        <f>IF(H47="","",H47-Settings!$B$3)</f>
        <v/>
      </c>
      <c r="J47" s="24" t="str">
        <f>IF(E47="Not started","Missing",IF(AND(H47&lt;&gt;"",H47&lt;Settings!$B$3),"Expired",IF(AND(H47&lt;&gt;"",H47-Settings!$B$3&lt;=Settings!$B$4),"Expiring soon",IF(E47="Filed in eTMF","OK","In progress"))))</f>
        <v>In progress</v>
      </c>
      <c r="K47" s="21" t="s">
        <v>162</v>
      </c>
      <c r="L47" s="21"/>
      <c r="M47" s="22"/>
      <c r="N47" s="24" t="str">
        <f t="shared" si="1"/>
        <v/>
      </c>
      <c r="O47" s="24" t="str">
        <f>IF(N47="","",IF(N47&lt;=Settings!$B$6,"Pass","Late"))</f>
        <v/>
      </c>
      <c r="P47" s="21" t="s">
        <v>226</v>
      </c>
      <c r="Q47" s="22">
        <v>46328</v>
      </c>
      <c r="R47" s="24" t="str">
        <f>IF(Q47="","",IF(Q47&lt;Settings!$B$3,"Overdue",IF(Q47-Settings!$B$3&lt;=Settings!$B$7,"Due this week","Scheduled")))</f>
        <v>Scheduled</v>
      </c>
    </row>
    <row r="48" spans="1:18" x14ac:dyDescent="0.2">
      <c r="A48" s="21" t="s">
        <v>228</v>
      </c>
      <c r="B48" s="21" t="s">
        <v>114</v>
      </c>
      <c r="C48" s="21" t="s">
        <v>176</v>
      </c>
      <c r="D48" s="21" t="s">
        <v>161</v>
      </c>
      <c r="E48" s="21" t="s">
        <v>53</v>
      </c>
      <c r="F48" s="22"/>
      <c r="G48" s="22"/>
      <c r="H48" s="22"/>
      <c r="I48" s="24" t="str">
        <f>IF(H48="","",H48-Settings!$B$3)</f>
        <v/>
      </c>
      <c r="J48" s="24" t="str">
        <f>IF(E48="Not started","Missing",IF(AND(H48&lt;&gt;"",H48&lt;Settings!$B$3),"Expired",IF(AND(H48&lt;&gt;"",H48-Settings!$B$3&lt;=Settings!$B$4),"Expiring soon",IF(E48="Filed in eTMF","OK","In progress"))))</f>
        <v>Missing</v>
      </c>
      <c r="K48" s="21" t="s">
        <v>162</v>
      </c>
      <c r="L48" s="21" t="s">
        <v>229</v>
      </c>
      <c r="M48" s="22"/>
      <c r="N48" s="24" t="str">
        <f t="shared" si="1"/>
        <v/>
      </c>
      <c r="O48" s="24" t="str">
        <f>IF(N48="","",IF(N48&lt;=Settings!$B$6,"Pass","Late"))</f>
        <v/>
      </c>
      <c r="P48" s="21" t="s">
        <v>226</v>
      </c>
      <c r="Q48" s="22">
        <v>46328</v>
      </c>
      <c r="R48" s="24" t="str">
        <f>IF(Q48="","",IF(Q48&lt;Settings!$B$3,"Overdue",IF(Q48-Settings!$B$3&lt;=Settings!$B$7,"Due this week","Scheduled")))</f>
        <v>Scheduled</v>
      </c>
    </row>
    <row r="49" spans="1:18" x14ac:dyDescent="0.2">
      <c r="A49" s="21" t="s">
        <v>230</v>
      </c>
      <c r="B49" s="21" t="s">
        <v>114</v>
      </c>
      <c r="C49" s="21" t="s">
        <v>178</v>
      </c>
      <c r="D49" s="21" t="s">
        <v>161</v>
      </c>
      <c r="E49" s="21" t="s">
        <v>53</v>
      </c>
      <c r="F49" s="22"/>
      <c r="G49" s="22"/>
      <c r="H49" s="22"/>
      <c r="I49" s="24" t="str">
        <f>IF(H49="","",H49-Settings!$B$3)</f>
        <v/>
      </c>
      <c r="J49" s="24" t="str">
        <f>IF(E49="Not started","Missing",IF(AND(H49&lt;&gt;"",H49&lt;Settings!$B$3),"Expired",IF(AND(H49&lt;&gt;"",H49-Settings!$B$3&lt;=Settings!$B$4),"Expiring soon",IF(E49="Filed in eTMF","OK","In progress"))))</f>
        <v>Missing</v>
      </c>
      <c r="K49" s="21" t="s">
        <v>162</v>
      </c>
      <c r="L49" s="21"/>
      <c r="M49" s="22"/>
      <c r="N49" s="24" t="str">
        <f t="shared" si="1"/>
        <v/>
      </c>
      <c r="O49" s="24" t="str">
        <f>IF(N49="","",IF(N49&lt;=Settings!$B$6,"Pass","Late"))</f>
        <v/>
      </c>
      <c r="P49" s="21" t="s">
        <v>226</v>
      </c>
      <c r="Q49" s="22">
        <v>46328</v>
      </c>
      <c r="R49" s="24" t="str">
        <f>IF(Q49="","",IF(Q49&lt;Settings!$B$3,"Overdue",IF(Q49-Settings!$B$3&lt;=Settings!$B$7,"Due this week","Scheduled")))</f>
        <v>Scheduled</v>
      </c>
    </row>
    <row r="50" spans="1:18" x14ac:dyDescent="0.2">
      <c r="A50" s="21" t="s">
        <v>231</v>
      </c>
      <c r="B50" s="21" t="s">
        <v>114</v>
      </c>
      <c r="C50" s="21" t="s">
        <v>180</v>
      </c>
      <c r="D50" s="21" t="s">
        <v>181</v>
      </c>
      <c r="E50" s="21" t="s">
        <v>53</v>
      </c>
      <c r="F50" s="22"/>
      <c r="G50" s="22"/>
      <c r="H50" s="22"/>
      <c r="I50" s="24" t="str">
        <f>IF(H50="","",H50-Settings!$B$3)</f>
        <v/>
      </c>
      <c r="J50" s="24" t="str">
        <f>IF(E50="Not started","Missing",IF(AND(H50&lt;&gt;"",H50&lt;Settings!$B$3),"Expired",IF(AND(H50&lt;&gt;"",H50-Settings!$B$3&lt;=Settings!$B$4),"Expiring soon",IF(E50="Filed in eTMF","OK","In progress"))))</f>
        <v>Missing</v>
      </c>
      <c r="K50" s="21" t="s">
        <v>162</v>
      </c>
      <c r="L50" s="21"/>
      <c r="M50" s="22"/>
      <c r="N50" s="24" t="str">
        <f t="shared" si="1"/>
        <v/>
      </c>
      <c r="O50" s="24" t="str">
        <f>IF(N50="","",IF(N50&lt;=Settings!$B$6,"Pass","Late"))</f>
        <v/>
      </c>
      <c r="P50" s="21" t="s">
        <v>226</v>
      </c>
      <c r="Q50" s="22">
        <v>46328</v>
      </c>
      <c r="R50" s="24" t="str">
        <f>IF(Q50="","",IF(Q50&lt;Settings!$B$3,"Overdue",IF(Q50-Settings!$B$3&lt;=Settings!$B$7,"Due this week","Scheduled")))</f>
        <v>Scheduled</v>
      </c>
    </row>
    <row r="51" spans="1:18" x14ac:dyDescent="0.2">
      <c r="A51" s="21" t="s">
        <v>232</v>
      </c>
      <c r="B51" s="21" t="s">
        <v>114</v>
      </c>
      <c r="C51" s="21" t="s">
        <v>183</v>
      </c>
      <c r="D51" s="21" t="s">
        <v>181</v>
      </c>
      <c r="E51" s="21" t="s">
        <v>53</v>
      </c>
      <c r="F51" s="22"/>
      <c r="G51" s="22"/>
      <c r="H51" s="22"/>
      <c r="I51" s="24" t="str">
        <f>IF(H51="","",H51-Settings!$B$3)</f>
        <v/>
      </c>
      <c r="J51" s="24" t="str">
        <f>IF(E51="Not started","Missing",IF(AND(H51&lt;&gt;"",H51&lt;Settings!$B$3),"Expired",IF(AND(H51&lt;&gt;"",H51-Settings!$B$3&lt;=Settings!$B$4),"Expiring soon",IF(E51="Filed in eTMF","OK","In progress"))))</f>
        <v>Missing</v>
      </c>
      <c r="K51" s="21" t="s">
        <v>162</v>
      </c>
      <c r="L51" s="21"/>
      <c r="M51" s="22"/>
      <c r="N51" s="24" t="str">
        <f t="shared" si="1"/>
        <v/>
      </c>
      <c r="O51" s="24" t="str">
        <f>IF(N51="","",IF(N51&lt;=Settings!$B$6,"Pass","Late"))</f>
        <v/>
      </c>
      <c r="P51" s="21" t="s">
        <v>226</v>
      </c>
      <c r="Q51" s="22">
        <v>46328</v>
      </c>
      <c r="R51" s="24" t="str">
        <f>IF(Q51="","",IF(Q51&lt;Settings!$B$3,"Overdue",IF(Q51-Settings!$B$3&lt;=Settings!$B$7,"Due this week","Scheduled")))</f>
        <v>Scheduled</v>
      </c>
    </row>
  </sheetData>
  <autoFilter ref="A1:R51" xr:uid="{00000000-0009-0000-0000-000005000000}"/>
  <conditionalFormatting sqref="J2:J500">
    <cfRule type="cellIs" dxfId="14" priority="2" operator="equal">
      <formula>"Expired"</formula>
    </cfRule>
    <cfRule type="cellIs" dxfId="13" priority="3" operator="equal">
      <formula>"Missing"</formula>
    </cfRule>
    <cfRule type="cellIs" dxfId="12" priority="4" operator="equal">
      <formula>"Expiring soon"</formula>
    </cfRule>
    <cfRule type="cellIs" dxfId="11" priority="5" operator="equal">
      <formula>"OK"</formula>
    </cfRule>
    <cfRule type="cellIs" dxfId="10" priority="6" operator="equal">
      <formula>"In progress"</formula>
    </cfRule>
  </conditionalFormatting>
  <conditionalFormatting sqref="O2:O500">
    <cfRule type="cellIs" dxfId="9" priority="7" operator="equal">
      <formula>"Late"</formula>
    </cfRule>
    <cfRule type="cellIs" dxfId="8" priority="8" operator="equal">
      <formula>"Pass"</formula>
    </cfRule>
  </conditionalFormatting>
  <conditionalFormatting sqref="R2:R500">
    <cfRule type="cellIs" dxfId="7" priority="9" operator="equal">
      <formula>"Overdue"</formula>
    </cfRule>
    <cfRule type="cellIs" dxfId="6" priority="10" operator="equal">
      <formula>"Due this week"</formula>
    </cfRule>
    <cfRule type="cellIs" dxfId="5" priority="11" operator="equal">
      <formula>"Scheduled"</formula>
    </cfRule>
  </conditionalFormatting>
  <dataValidations count="1">
    <dataValidation type="list" allowBlank="1" sqref="D2:D500" xr:uid="{00000000-0002-0000-0500-000001000000}">
      <formula1>"Y,N"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0000000}">
          <x14:formula1>
            <xm:f>Settings!$A$12:$A$15</xm:f>
          </x14:formula1>
          <x14:formula2>
            <xm:f>0</xm:f>
          </x14:formula2>
          <xm:sqref>E2:E500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18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11" customWidth="1"/>
    <col min="2" max="2" width="8" customWidth="1"/>
    <col min="3" max="3" width="30" customWidth="1"/>
    <col min="4" max="4" width="13" customWidth="1"/>
    <col min="5" max="5" width="15" customWidth="1"/>
    <col min="6" max="6" width="13" customWidth="1"/>
    <col min="7" max="7" width="17" customWidth="1"/>
    <col min="8" max="8" width="14" customWidth="1"/>
    <col min="9" max="9" width="13" customWidth="1"/>
    <col min="10" max="10" width="12" customWidth="1"/>
  </cols>
  <sheetData>
    <row r="1" spans="1:10" ht="45" customHeight="1" x14ac:dyDescent="0.2">
      <c r="A1" s="20" t="s">
        <v>233</v>
      </c>
      <c r="B1" s="20" t="s">
        <v>88</v>
      </c>
      <c r="C1" s="20" t="s">
        <v>234</v>
      </c>
      <c r="D1" s="20" t="s">
        <v>60</v>
      </c>
      <c r="E1" s="20" t="s">
        <v>83</v>
      </c>
      <c r="F1" s="20" t="s">
        <v>61</v>
      </c>
      <c r="G1" s="20" t="s">
        <v>125</v>
      </c>
      <c r="H1" s="20" t="s">
        <v>235</v>
      </c>
      <c r="I1" s="20" t="s">
        <v>236</v>
      </c>
      <c r="J1" s="20" t="s">
        <v>237</v>
      </c>
    </row>
    <row r="2" spans="1:10" x14ac:dyDescent="0.2">
      <c r="A2" s="21" t="s">
        <v>238</v>
      </c>
      <c r="B2" s="21" t="s">
        <v>98</v>
      </c>
      <c r="C2" s="21" t="s">
        <v>239</v>
      </c>
      <c r="D2" s="41">
        <v>4500</v>
      </c>
      <c r="E2" s="22">
        <v>46239</v>
      </c>
      <c r="F2" s="41">
        <v>4500</v>
      </c>
      <c r="G2" s="21" t="s">
        <v>87</v>
      </c>
      <c r="H2" s="22">
        <v>46262</v>
      </c>
      <c r="I2" s="42">
        <f t="shared" ref="I2:I16" si="0">IF(F2="","",F2-D2)</f>
        <v>0</v>
      </c>
      <c r="J2" s="24" t="str">
        <f>IF(AND(E2&lt;&gt;"",H2=""),Settings!$B$3-E2,"")</f>
        <v/>
      </c>
    </row>
    <row r="3" spans="1:10" x14ac:dyDescent="0.2">
      <c r="A3" s="21" t="s">
        <v>240</v>
      </c>
      <c r="B3" s="21" t="s">
        <v>98</v>
      </c>
      <c r="C3" s="21" t="s">
        <v>241</v>
      </c>
      <c r="D3" s="41">
        <v>1800</v>
      </c>
      <c r="E3" s="22">
        <v>46283</v>
      </c>
      <c r="F3" s="41">
        <v>1800</v>
      </c>
      <c r="G3" s="21" t="s">
        <v>85</v>
      </c>
      <c r="H3" s="22"/>
      <c r="I3" s="42">
        <f t="shared" si="0"/>
        <v>0</v>
      </c>
      <c r="J3" s="24">
        <f>IF(AND(E3&lt;&gt;"",H3=""),Settings!$B$3-E3,"")</f>
        <v>21</v>
      </c>
    </row>
    <row r="4" spans="1:10" x14ac:dyDescent="0.2">
      <c r="A4" s="21" t="s">
        <v>242</v>
      </c>
      <c r="B4" s="21" t="s">
        <v>98</v>
      </c>
      <c r="C4" s="21" t="s">
        <v>243</v>
      </c>
      <c r="D4" s="41">
        <v>1200</v>
      </c>
      <c r="E4" s="22">
        <v>46246</v>
      </c>
      <c r="F4" s="41">
        <v>1350</v>
      </c>
      <c r="G4" s="21" t="s">
        <v>87</v>
      </c>
      <c r="H4" s="22">
        <v>46269</v>
      </c>
      <c r="I4" s="42">
        <f t="shared" si="0"/>
        <v>150</v>
      </c>
      <c r="J4" s="24" t="str">
        <f>IF(AND(E4&lt;&gt;"",H4=""),Settings!$B$3-E4,"")</f>
        <v/>
      </c>
    </row>
    <row r="5" spans="1:10" x14ac:dyDescent="0.2">
      <c r="A5" s="21" t="s">
        <v>244</v>
      </c>
      <c r="B5" s="21" t="s">
        <v>102</v>
      </c>
      <c r="C5" s="21" t="s">
        <v>239</v>
      </c>
      <c r="D5" s="41">
        <v>4500</v>
      </c>
      <c r="E5" s="22">
        <v>46290</v>
      </c>
      <c r="F5" s="41">
        <v>4500</v>
      </c>
      <c r="G5" s="21" t="s">
        <v>83</v>
      </c>
      <c r="H5" s="22"/>
      <c r="I5" s="42">
        <f t="shared" si="0"/>
        <v>0</v>
      </c>
      <c r="J5" s="24">
        <f>IF(AND(E5&lt;&gt;"",H5=""),Settings!$B$3-E5,"")</f>
        <v>14</v>
      </c>
    </row>
    <row r="6" spans="1:10" x14ac:dyDescent="0.2">
      <c r="A6" s="21" t="s">
        <v>245</v>
      </c>
      <c r="B6" s="21" t="s">
        <v>102</v>
      </c>
      <c r="C6" s="21" t="s">
        <v>241</v>
      </c>
      <c r="D6" s="41">
        <v>1800</v>
      </c>
      <c r="E6" s="22"/>
      <c r="F6" s="41"/>
      <c r="G6" s="21" t="s">
        <v>81</v>
      </c>
      <c r="H6" s="22"/>
      <c r="I6" s="42" t="str">
        <f t="shared" si="0"/>
        <v/>
      </c>
      <c r="J6" s="24" t="str">
        <f>IF(AND(E6&lt;&gt;"",H6=""),Settings!$B$3-E6,"")</f>
        <v/>
      </c>
    </row>
    <row r="7" spans="1:10" x14ac:dyDescent="0.2">
      <c r="A7" s="21" t="s">
        <v>246</v>
      </c>
      <c r="B7" s="21" t="s">
        <v>102</v>
      </c>
      <c r="C7" s="21" t="s">
        <v>243</v>
      </c>
      <c r="D7" s="41">
        <v>1200</v>
      </c>
      <c r="E7" s="22">
        <v>46254</v>
      </c>
      <c r="F7" s="41">
        <v>1200</v>
      </c>
      <c r="G7" s="21" t="s">
        <v>83</v>
      </c>
      <c r="H7" s="22"/>
      <c r="I7" s="42">
        <f t="shared" si="0"/>
        <v>0</v>
      </c>
      <c r="J7" s="24">
        <f>IF(AND(E7&lt;&gt;"",H7=""),Settings!$B$3-E7,"")</f>
        <v>50</v>
      </c>
    </row>
    <row r="8" spans="1:10" x14ac:dyDescent="0.2">
      <c r="A8" s="21" t="s">
        <v>247</v>
      </c>
      <c r="B8" s="21" t="s">
        <v>106</v>
      </c>
      <c r="C8" s="21" t="s">
        <v>239</v>
      </c>
      <c r="D8" s="41">
        <v>4500</v>
      </c>
      <c r="E8" s="22"/>
      <c r="F8" s="41"/>
      <c r="G8" s="21" t="s">
        <v>81</v>
      </c>
      <c r="H8" s="22"/>
      <c r="I8" s="42" t="str">
        <f t="shared" si="0"/>
        <v/>
      </c>
      <c r="J8" s="24" t="str">
        <f>IF(AND(E8&lt;&gt;"",H8=""),Settings!$B$3-E8,"")</f>
        <v/>
      </c>
    </row>
    <row r="9" spans="1:10" x14ac:dyDescent="0.2">
      <c r="A9" s="21" t="s">
        <v>248</v>
      </c>
      <c r="B9" s="21" t="s">
        <v>106</v>
      </c>
      <c r="C9" s="21" t="s">
        <v>241</v>
      </c>
      <c r="D9" s="41">
        <v>1800</v>
      </c>
      <c r="E9" s="22"/>
      <c r="F9" s="41"/>
      <c r="G9" s="21" t="s">
        <v>81</v>
      </c>
      <c r="H9" s="22"/>
      <c r="I9" s="42" t="str">
        <f t="shared" si="0"/>
        <v/>
      </c>
      <c r="J9" s="24" t="str">
        <f>IF(AND(E9&lt;&gt;"",H9=""),Settings!$B$3-E9,"")</f>
        <v/>
      </c>
    </row>
    <row r="10" spans="1:10" x14ac:dyDescent="0.2">
      <c r="A10" s="21" t="s">
        <v>249</v>
      </c>
      <c r="B10" s="21" t="s">
        <v>106</v>
      </c>
      <c r="C10" s="21" t="s">
        <v>243</v>
      </c>
      <c r="D10" s="41">
        <v>1200</v>
      </c>
      <c r="E10" s="22"/>
      <c r="F10" s="41"/>
      <c r="G10" s="21" t="s">
        <v>81</v>
      </c>
      <c r="H10" s="22"/>
      <c r="I10" s="42" t="str">
        <f t="shared" si="0"/>
        <v/>
      </c>
      <c r="J10" s="24" t="str">
        <f>IF(AND(E10&lt;&gt;"",H10=""),Settings!$B$3-E10,"")</f>
        <v/>
      </c>
    </row>
    <row r="11" spans="1:10" x14ac:dyDescent="0.2">
      <c r="A11" s="21" t="s">
        <v>250</v>
      </c>
      <c r="B11" s="21" t="s">
        <v>110</v>
      </c>
      <c r="C11" s="21" t="s">
        <v>239</v>
      </c>
      <c r="D11" s="41">
        <v>4500</v>
      </c>
      <c r="E11" s="22"/>
      <c r="F11" s="41"/>
      <c r="G11" s="21" t="s">
        <v>81</v>
      </c>
      <c r="H11" s="22"/>
      <c r="I11" s="42" t="str">
        <f t="shared" si="0"/>
        <v/>
      </c>
      <c r="J11" s="24" t="str">
        <f>IF(AND(E11&lt;&gt;"",H11=""),Settings!$B$3-E11,"")</f>
        <v/>
      </c>
    </row>
    <row r="12" spans="1:10" x14ac:dyDescent="0.2">
      <c r="A12" s="21" t="s">
        <v>251</v>
      </c>
      <c r="B12" s="21" t="s">
        <v>110</v>
      </c>
      <c r="C12" s="21" t="s">
        <v>241</v>
      </c>
      <c r="D12" s="41">
        <v>1800</v>
      </c>
      <c r="E12" s="22"/>
      <c r="F12" s="41"/>
      <c r="G12" s="21" t="s">
        <v>81</v>
      </c>
      <c r="H12" s="22"/>
      <c r="I12" s="42" t="str">
        <f t="shared" si="0"/>
        <v/>
      </c>
      <c r="J12" s="24" t="str">
        <f>IF(AND(E12&lt;&gt;"",H12=""),Settings!$B$3-E12,"")</f>
        <v/>
      </c>
    </row>
    <row r="13" spans="1:10" x14ac:dyDescent="0.2">
      <c r="A13" s="21" t="s">
        <v>252</v>
      </c>
      <c r="B13" s="21" t="s">
        <v>110</v>
      </c>
      <c r="C13" s="21" t="s">
        <v>243</v>
      </c>
      <c r="D13" s="41">
        <v>1200</v>
      </c>
      <c r="E13" s="22"/>
      <c r="F13" s="41"/>
      <c r="G13" s="21" t="s">
        <v>81</v>
      </c>
      <c r="H13" s="22"/>
      <c r="I13" s="42" t="str">
        <f t="shared" si="0"/>
        <v/>
      </c>
      <c r="J13" s="24" t="str">
        <f>IF(AND(E13&lt;&gt;"",H13=""),Settings!$B$3-E13,"")</f>
        <v/>
      </c>
    </row>
    <row r="14" spans="1:10" x14ac:dyDescent="0.2">
      <c r="A14" s="21" t="s">
        <v>253</v>
      </c>
      <c r="B14" s="21" t="s">
        <v>114</v>
      </c>
      <c r="C14" s="21" t="s">
        <v>239</v>
      </c>
      <c r="D14" s="41">
        <v>4500</v>
      </c>
      <c r="E14" s="22"/>
      <c r="F14" s="41"/>
      <c r="G14" s="21" t="s">
        <v>81</v>
      </c>
      <c r="H14" s="22"/>
      <c r="I14" s="42" t="str">
        <f t="shared" si="0"/>
        <v/>
      </c>
      <c r="J14" s="24" t="str">
        <f>IF(AND(E14&lt;&gt;"",H14=""),Settings!$B$3-E14,"")</f>
        <v/>
      </c>
    </row>
    <row r="15" spans="1:10" x14ac:dyDescent="0.2">
      <c r="A15" s="21" t="s">
        <v>254</v>
      </c>
      <c r="B15" s="21" t="s">
        <v>114</v>
      </c>
      <c r="C15" s="21" t="s">
        <v>241</v>
      </c>
      <c r="D15" s="41">
        <v>1800</v>
      </c>
      <c r="E15" s="22"/>
      <c r="F15" s="41"/>
      <c r="G15" s="21" t="s">
        <v>81</v>
      </c>
      <c r="H15" s="22"/>
      <c r="I15" s="42" t="str">
        <f t="shared" si="0"/>
        <v/>
      </c>
      <c r="J15" s="24" t="str">
        <f>IF(AND(E15&lt;&gt;"",H15=""),Settings!$B$3-E15,"")</f>
        <v/>
      </c>
    </row>
    <row r="16" spans="1:10" x14ac:dyDescent="0.2">
      <c r="A16" s="21" t="s">
        <v>255</v>
      </c>
      <c r="B16" s="21" t="s">
        <v>114</v>
      </c>
      <c r="C16" s="21" t="s">
        <v>243</v>
      </c>
      <c r="D16" s="41">
        <v>1200</v>
      </c>
      <c r="E16" s="22"/>
      <c r="F16" s="41"/>
      <c r="G16" s="21" t="s">
        <v>81</v>
      </c>
      <c r="H16" s="22"/>
      <c r="I16" s="42" t="str">
        <f t="shared" si="0"/>
        <v/>
      </c>
      <c r="J16" s="24" t="str">
        <f>IF(AND(E16&lt;&gt;"",H16=""),Settings!$B$3-E16,"")</f>
        <v/>
      </c>
    </row>
    <row r="18" spans="1:1" x14ac:dyDescent="0.2">
      <c r="A18" s="17" t="s">
        <v>256</v>
      </c>
    </row>
  </sheetData>
  <autoFilter ref="A1:J16" xr:uid="{00000000-0009-0000-0000-000006000000}"/>
  <conditionalFormatting sqref="I2:I500">
    <cfRule type="expression" dxfId="4" priority="3">
      <formula>AND(ISNUMBER(I2),I2&gt;0)</formula>
    </cfRule>
  </conditionalFormatting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600-000002000000}">
            <xm:f>AND(ISNUMBER(J2),J2&gt;Settings!$B$8)</xm:f>
            <x14:dxf>
              <fill>
                <patternFill>
                  <bgColor rgb="FFF8CBAD"/>
                </patternFill>
              </fill>
            </x14:dxf>
          </x14:cfRule>
          <xm:sqref>J2:J500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600-000000000000}">
          <x14:formula1>
            <xm:f>Settings!$C$12:$C$15</xm:f>
          </x14:formula1>
          <x14:formula2>
            <xm:f>0</xm:f>
          </x14:formula2>
          <xm:sqref>G2:G500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11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10" customWidth="1"/>
    <col min="2" max="2" width="13" customWidth="1"/>
    <col min="3" max="3" width="8" customWidth="1"/>
    <col min="4" max="4" width="22" customWidth="1"/>
    <col min="5" max="5" width="10" customWidth="1"/>
    <col min="6" max="6" width="34" customWidth="1"/>
    <col min="7" max="7" width="44" customWidth="1"/>
    <col min="8" max="8" width="14" customWidth="1"/>
    <col min="9" max="9" width="11" customWidth="1"/>
    <col min="10" max="10" width="13" customWidth="1"/>
  </cols>
  <sheetData>
    <row r="1" spans="1:10" ht="45" customHeight="1" x14ac:dyDescent="0.2">
      <c r="A1" s="20" t="s">
        <v>257</v>
      </c>
      <c r="B1" s="20" t="s">
        <v>258</v>
      </c>
      <c r="C1" s="20" t="s">
        <v>88</v>
      </c>
      <c r="D1" s="20" t="s">
        <v>259</v>
      </c>
      <c r="E1" s="20" t="s">
        <v>260</v>
      </c>
      <c r="F1" s="20" t="s">
        <v>261</v>
      </c>
      <c r="G1" s="20" t="s">
        <v>262</v>
      </c>
      <c r="H1" s="20" t="s">
        <v>263</v>
      </c>
      <c r="I1" s="20" t="s">
        <v>264</v>
      </c>
      <c r="J1" s="20" t="s">
        <v>265</v>
      </c>
    </row>
    <row r="2" spans="1:10" x14ac:dyDescent="0.2">
      <c r="A2" s="21" t="s">
        <v>266</v>
      </c>
      <c r="B2" s="22">
        <v>46286</v>
      </c>
      <c r="C2" s="21" t="s">
        <v>102</v>
      </c>
      <c r="D2" s="21" t="s">
        <v>267</v>
      </c>
      <c r="E2" s="21" t="s">
        <v>268</v>
      </c>
      <c r="F2" s="21" t="s">
        <v>269</v>
      </c>
      <c r="G2" s="21" t="s">
        <v>270</v>
      </c>
      <c r="H2" s="22">
        <v>46293</v>
      </c>
      <c r="I2" s="21" t="s">
        <v>161</v>
      </c>
      <c r="J2" s="24" t="str">
        <f>IF(H2="","",IF(I2="Y","Done",IF(H2&lt;Settings!$B$3,"Overdue","Open")))</f>
        <v>Done</v>
      </c>
    </row>
    <row r="3" spans="1:10" ht="30" x14ac:dyDescent="0.2">
      <c r="A3" s="21" t="s">
        <v>271</v>
      </c>
      <c r="B3" s="22">
        <v>46296</v>
      </c>
      <c r="C3" s="21" t="s">
        <v>102</v>
      </c>
      <c r="D3" s="21" t="s">
        <v>272</v>
      </c>
      <c r="E3" s="21" t="s">
        <v>273</v>
      </c>
      <c r="F3" s="21" t="s">
        <v>274</v>
      </c>
      <c r="G3" s="21" t="s">
        <v>275</v>
      </c>
      <c r="H3" s="22">
        <v>46307</v>
      </c>
      <c r="I3" s="21" t="s">
        <v>181</v>
      </c>
      <c r="J3" s="24" t="str">
        <f>IF(H3="","",IF(I3="Y","Done",IF(H3&lt;Settings!$B$3,"Overdue","Open")))</f>
        <v>Open</v>
      </c>
    </row>
    <row r="4" spans="1:10" x14ac:dyDescent="0.2">
      <c r="A4" s="21" t="s">
        <v>276</v>
      </c>
      <c r="B4" s="22">
        <v>46289</v>
      </c>
      <c r="C4" s="21" t="s">
        <v>106</v>
      </c>
      <c r="D4" s="21" t="s">
        <v>90</v>
      </c>
      <c r="E4" s="21" t="s">
        <v>268</v>
      </c>
      <c r="F4" s="21" t="s">
        <v>277</v>
      </c>
      <c r="G4" s="21" t="s">
        <v>199</v>
      </c>
      <c r="H4" s="22">
        <v>46302</v>
      </c>
      <c r="I4" s="21" t="s">
        <v>181</v>
      </c>
      <c r="J4" s="24" t="str">
        <f>IF(H4="","",IF(I4="Y","Done",IF(H4&lt;Settings!$B$3,"Overdue","Open")))</f>
        <v>Overdue</v>
      </c>
    </row>
    <row r="5" spans="1:10" ht="30" x14ac:dyDescent="0.2">
      <c r="A5" s="21" t="s">
        <v>278</v>
      </c>
      <c r="B5" s="22">
        <v>46294</v>
      </c>
      <c r="C5" s="21" t="s">
        <v>110</v>
      </c>
      <c r="D5" s="21" t="s">
        <v>272</v>
      </c>
      <c r="E5" s="21" t="s">
        <v>268</v>
      </c>
      <c r="F5" s="21" t="s">
        <v>279</v>
      </c>
      <c r="G5" s="21" t="s">
        <v>280</v>
      </c>
      <c r="H5" s="22">
        <v>46301</v>
      </c>
      <c r="I5" s="21" t="s">
        <v>181</v>
      </c>
      <c r="J5" s="24" t="str">
        <f>IF(H5="","",IF(I5="Y","Done",IF(H5&lt;Settings!$B$3,"Overdue","Open")))</f>
        <v>Overdue</v>
      </c>
    </row>
    <row r="6" spans="1:10" x14ac:dyDescent="0.2">
      <c r="A6" s="21" t="s">
        <v>281</v>
      </c>
      <c r="B6" s="22">
        <v>46297</v>
      </c>
      <c r="C6" s="21" t="s">
        <v>110</v>
      </c>
      <c r="D6" s="21" t="s">
        <v>282</v>
      </c>
      <c r="E6" s="21" t="s">
        <v>273</v>
      </c>
      <c r="F6" s="21" t="s">
        <v>283</v>
      </c>
      <c r="G6" s="21" t="s">
        <v>284</v>
      </c>
      <c r="H6" s="22">
        <v>46309</v>
      </c>
      <c r="I6" s="21" t="s">
        <v>181</v>
      </c>
      <c r="J6" s="24" t="str">
        <f>IF(H6="","",IF(I6="Y","Done",IF(H6&lt;Settings!$B$3,"Overdue","Open")))</f>
        <v>Open</v>
      </c>
    </row>
    <row r="7" spans="1:10" x14ac:dyDescent="0.2">
      <c r="A7" s="21" t="s">
        <v>285</v>
      </c>
      <c r="B7" s="22">
        <v>46280</v>
      </c>
      <c r="C7" s="21" t="s">
        <v>114</v>
      </c>
      <c r="D7" s="21" t="s">
        <v>90</v>
      </c>
      <c r="E7" s="21" t="s">
        <v>286</v>
      </c>
      <c r="F7" s="21" t="s">
        <v>287</v>
      </c>
      <c r="G7" s="21" t="s">
        <v>288</v>
      </c>
      <c r="H7" s="22">
        <v>46328</v>
      </c>
      <c r="I7" s="21" t="s">
        <v>181</v>
      </c>
      <c r="J7" s="24" t="str">
        <f>IF(H7="","",IF(I7="Y","Done",IF(H7&lt;Settings!$B$3,"Overdue","Open")))</f>
        <v>Open</v>
      </c>
    </row>
    <row r="8" spans="1:10" ht="30" x14ac:dyDescent="0.2">
      <c r="A8" s="21" t="s">
        <v>289</v>
      </c>
      <c r="B8" s="22">
        <v>46275</v>
      </c>
      <c r="C8" s="21" t="s">
        <v>98</v>
      </c>
      <c r="D8" s="21" t="s">
        <v>290</v>
      </c>
      <c r="E8" s="21" t="s">
        <v>268</v>
      </c>
      <c r="F8" s="21" t="s">
        <v>291</v>
      </c>
      <c r="G8" s="21" t="s">
        <v>292</v>
      </c>
      <c r="H8" s="22">
        <v>46282</v>
      </c>
      <c r="I8" s="21" t="s">
        <v>161</v>
      </c>
      <c r="J8" s="24" t="str">
        <f>IF(H8="","",IF(I8="Y","Done",IF(H8&lt;Settings!$B$3,"Overdue","Open")))</f>
        <v>Done</v>
      </c>
    </row>
    <row r="9" spans="1:10" x14ac:dyDescent="0.2">
      <c r="A9" s="21" t="s">
        <v>293</v>
      </c>
      <c r="B9" s="22">
        <v>46300</v>
      </c>
      <c r="C9" s="21" t="s">
        <v>102</v>
      </c>
      <c r="D9" s="21" t="s">
        <v>294</v>
      </c>
      <c r="E9" s="21" t="s">
        <v>268</v>
      </c>
      <c r="F9" s="21" t="s">
        <v>295</v>
      </c>
      <c r="G9" s="21" t="s">
        <v>296</v>
      </c>
      <c r="H9" s="22">
        <v>46304</v>
      </c>
      <c r="I9" s="21" t="s">
        <v>181</v>
      </c>
      <c r="J9" s="24" t="str">
        <f>IF(H9="","",IF(I9="Y","Done",IF(H9&lt;Settings!$B$3,"Overdue","Open")))</f>
        <v>Open</v>
      </c>
    </row>
    <row r="10" spans="1:10" x14ac:dyDescent="0.2">
      <c r="A10" s="21" t="s">
        <v>297</v>
      </c>
      <c r="B10" s="22">
        <v>46301</v>
      </c>
      <c r="C10" s="21" t="s">
        <v>98</v>
      </c>
      <c r="D10" s="21" t="s">
        <v>90</v>
      </c>
      <c r="E10" s="21" t="s">
        <v>268</v>
      </c>
      <c r="F10" s="21" t="s">
        <v>298</v>
      </c>
      <c r="G10" s="21" t="s">
        <v>299</v>
      </c>
      <c r="H10" s="22">
        <v>46325</v>
      </c>
      <c r="I10" s="21" t="s">
        <v>181</v>
      </c>
      <c r="J10" s="24" t="str">
        <f>IF(H10="","",IF(I10="Y","Done",IF(H10&lt;Settings!$B$3,"Overdue","Open")))</f>
        <v>Open</v>
      </c>
    </row>
    <row r="11" spans="1:10" x14ac:dyDescent="0.2">
      <c r="A11" s="21" t="s">
        <v>300</v>
      </c>
      <c r="B11" s="22">
        <v>46302</v>
      </c>
      <c r="C11" s="21" t="s">
        <v>106</v>
      </c>
      <c r="D11" s="21" t="s">
        <v>282</v>
      </c>
      <c r="E11" s="21" t="s">
        <v>273</v>
      </c>
      <c r="F11" s="21" t="s">
        <v>301</v>
      </c>
      <c r="G11" s="21" t="s">
        <v>302</v>
      </c>
      <c r="H11" s="22">
        <v>46305</v>
      </c>
      <c r="I11" s="21" t="s">
        <v>181</v>
      </c>
      <c r="J11" s="24" t="str">
        <f>IF(H11="","",IF(I11="Y","Done",IF(H11&lt;Settings!$B$3,"Overdue","Open")))</f>
        <v>Open</v>
      </c>
    </row>
  </sheetData>
  <autoFilter ref="A1:J11" xr:uid="{00000000-0009-0000-0000-000007000000}"/>
  <conditionalFormatting sqref="J2:J500">
    <cfRule type="cellIs" dxfId="2" priority="2" operator="equal">
      <formula>"Overdue"</formula>
    </cfRule>
    <cfRule type="cellIs" dxfId="1" priority="3" operator="equal">
      <formula>"Open"</formula>
    </cfRule>
    <cfRule type="cellIs" dxfId="0" priority="4" operator="equal">
      <formula>"Done"</formula>
    </cfRule>
  </conditionalFormatting>
  <dataValidations count="2">
    <dataValidation type="list" allowBlank="1" sqref="I2:I500" xr:uid="{00000000-0002-0000-0700-000000000000}">
      <formula1>"Y,N"</formula1>
      <formula2>0</formula2>
    </dataValidation>
    <dataValidation type="list" allowBlank="1" sqref="E2:E500" xr:uid="{00000000-0002-0000-0700-000001000000}">
      <formula1>"Email,Phone,Meeting,Letter"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1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0" customWidth="1"/>
    <col min="2" max="2" width="13" customWidth="1"/>
    <col min="3" max="3" width="12" customWidth="1"/>
    <col min="4" max="4" width="10" customWidth="1"/>
    <col min="5" max="5" width="22" customWidth="1"/>
    <col min="6" max="7" width="20" customWidth="1"/>
    <col min="8" max="8" width="12" customWidth="1"/>
    <col min="9" max="9" width="52" customWidth="1"/>
  </cols>
  <sheetData>
    <row r="1" spans="1:9" ht="45" customHeight="1" x14ac:dyDescent="0.2">
      <c r="A1" s="20" t="s">
        <v>303</v>
      </c>
      <c r="B1" s="20" t="s">
        <v>258</v>
      </c>
      <c r="C1" s="20" t="s">
        <v>304</v>
      </c>
      <c r="D1" s="20" t="s">
        <v>305</v>
      </c>
      <c r="E1" s="20" t="s">
        <v>306</v>
      </c>
      <c r="F1" s="20" t="s">
        <v>307</v>
      </c>
      <c r="G1" s="20" t="s">
        <v>308</v>
      </c>
      <c r="H1" s="20" t="s">
        <v>309</v>
      </c>
      <c r="I1" s="20" t="s">
        <v>310</v>
      </c>
    </row>
    <row r="2" spans="1:9" x14ac:dyDescent="0.2">
      <c r="A2" s="21" t="s">
        <v>311</v>
      </c>
      <c r="B2" s="22">
        <v>46233</v>
      </c>
      <c r="C2" s="21" t="s">
        <v>312</v>
      </c>
      <c r="D2" s="21" t="s">
        <v>98</v>
      </c>
      <c r="E2" s="21" t="s">
        <v>93</v>
      </c>
      <c r="F2" s="21" t="s">
        <v>313</v>
      </c>
      <c r="G2" s="21" t="s">
        <v>314</v>
      </c>
      <c r="H2" s="21" t="s">
        <v>162</v>
      </c>
      <c r="I2" s="21" t="s">
        <v>315</v>
      </c>
    </row>
    <row r="3" spans="1:9" ht="30" x14ac:dyDescent="0.2">
      <c r="A3" s="21" t="s">
        <v>316</v>
      </c>
      <c r="B3" s="22">
        <v>46269</v>
      </c>
      <c r="C3" s="21" t="s">
        <v>46</v>
      </c>
      <c r="D3" s="21" t="s">
        <v>242</v>
      </c>
      <c r="E3" s="21" t="s">
        <v>125</v>
      </c>
      <c r="F3" s="21" t="s">
        <v>85</v>
      </c>
      <c r="G3" s="21" t="s">
        <v>87</v>
      </c>
      <c r="H3" s="21" t="s">
        <v>162</v>
      </c>
      <c r="I3" s="21" t="s">
        <v>317</v>
      </c>
    </row>
    <row r="4" spans="1:9" x14ac:dyDescent="0.2">
      <c r="A4" s="21" t="s">
        <v>318</v>
      </c>
      <c r="B4" s="22">
        <v>46280</v>
      </c>
      <c r="C4" s="21" t="s">
        <v>312</v>
      </c>
      <c r="D4" s="21" t="s">
        <v>114</v>
      </c>
      <c r="E4" s="21" t="s">
        <v>40</v>
      </c>
      <c r="F4" s="21" t="s">
        <v>42</v>
      </c>
      <c r="G4" s="21" t="s">
        <v>47</v>
      </c>
      <c r="H4" s="21" t="s">
        <v>162</v>
      </c>
      <c r="I4" s="21" t="s">
        <v>319</v>
      </c>
    </row>
    <row r="5" spans="1:9" ht="30" x14ac:dyDescent="0.2">
      <c r="A5" s="21" t="s">
        <v>320</v>
      </c>
      <c r="B5" s="22">
        <v>46287</v>
      </c>
      <c r="C5" s="21" t="s">
        <v>312</v>
      </c>
      <c r="D5" s="21" t="s">
        <v>102</v>
      </c>
      <c r="E5" s="21" t="s">
        <v>93</v>
      </c>
      <c r="F5" s="21" t="s">
        <v>313</v>
      </c>
      <c r="G5" s="21" t="s">
        <v>321</v>
      </c>
      <c r="H5" s="21" t="s">
        <v>162</v>
      </c>
      <c r="I5" s="21" t="s">
        <v>322</v>
      </c>
    </row>
    <row r="6" spans="1:9" x14ac:dyDescent="0.2">
      <c r="A6" s="21" t="s">
        <v>323</v>
      </c>
      <c r="B6" s="22">
        <v>46287</v>
      </c>
      <c r="C6" s="21" t="s">
        <v>312</v>
      </c>
      <c r="D6" s="21" t="s">
        <v>102</v>
      </c>
      <c r="E6" s="21" t="s">
        <v>40</v>
      </c>
      <c r="F6" s="21" t="s">
        <v>42</v>
      </c>
      <c r="G6" s="21" t="s">
        <v>44</v>
      </c>
      <c r="H6" s="21" t="s">
        <v>162</v>
      </c>
      <c r="I6" s="21" t="s">
        <v>324</v>
      </c>
    </row>
    <row r="7" spans="1:9" x14ac:dyDescent="0.2">
      <c r="A7" s="21" t="s">
        <v>325</v>
      </c>
      <c r="B7" s="22">
        <v>46290</v>
      </c>
      <c r="C7" s="21" t="s">
        <v>65</v>
      </c>
      <c r="D7" s="21" t="s">
        <v>326</v>
      </c>
      <c r="E7" s="21" t="s">
        <v>67</v>
      </c>
      <c r="F7" s="21" t="s">
        <v>327</v>
      </c>
      <c r="G7" s="21" t="s">
        <v>328</v>
      </c>
      <c r="H7" s="21" t="s">
        <v>162</v>
      </c>
      <c r="I7" s="21" t="s">
        <v>329</v>
      </c>
    </row>
    <row r="8" spans="1:9" ht="30" x14ac:dyDescent="0.2">
      <c r="A8" s="21" t="s">
        <v>330</v>
      </c>
      <c r="B8" s="22">
        <v>46296</v>
      </c>
      <c r="C8" s="21" t="s">
        <v>331</v>
      </c>
      <c r="D8" s="21" t="s">
        <v>190</v>
      </c>
      <c r="E8" s="21" t="s">
        <v>152</v>
      </c>
      <c r="F8" s="21" t="s">
        <v>313</v>
      </c>
      <c r="G8" s="21" t="s">
        <v>191</v>
      </c>
      <c r="H8" s="21" t="s">
        <v>162</v>
      </c>
      <c r="I8" s="21" t="s">
        <v>332</v>
      </c>
    </row>
    <row r="9" spans="1:9" x14ac:dyDescent="0.2">
      <c r="A9" s="21" t="s">
        <v>333</v>
      </c>
      <c r="B9" s="22">
        <v>46302</v>
      </c>
      <c r="C9" s="21" t="s">
        <v>331</v>
      </c>
      <c r="D9" s="21" t="s">
        <v>203</v>
      </c>
      <c r="E9" s="21" t="s">
        <v>125</v>
      </c>
      <c r="F9" s="21" t="s">
        <v>82</v>
      </c>
      <c r="G9" s="21" t="s">
        <v>84</v>
      </c>
      <c r="H9" s="21" t="s">
        <v>162</v>
      </c>
      <c r="I9" s="21" t="s">
        <v>334</v>
      </c>
    </row>
    <row r="11" spans="1:9" x14ac:dyDescent="0.2">
      <c r="A11" s="17" t="s">
        <v>335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Dashboard</vt:lpstr>
      <vt:lpstr>Settings</vt:lpstr>
      <vt:lpstr>Sites</vt:lpstr>
      <vt:lpstr>Gantt</vt:lpstr>
      <vt:lpstr>Documents</vt:lpstr>
      <vt:lpstr>Payments</vt:lpstr>
      <vt:lpstr>Contact Log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Leina KAMERON (Student)</cp:lastModifiedBy>
  <cp:revision>1</cp:revision>
  <dcterms:created xsi:type="dcterms:W3CDTF">2026-10-09T12:23:35Z</dcterms:created>
  <dcterms:modified xsi:type="dcterms:W3CDTF">2026-10-09T12:29:25Z</dcterms:modified>
  <dc:language>en-US</dc:language>
</cp:coreProperties>
</file>