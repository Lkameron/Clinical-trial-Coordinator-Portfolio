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Relationship Type="http://schemas.openxmlformats.org/officeDocument/2006/relationships/custom-properties" Target="docProps/custom.xml" Id="R3f1c9a7e2b5d4086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<sst xmlns="http://schemas.openxmlformats.org/spreadsheetml/2006/main" count="164" uniqueCount="73">
  <si>
    <t xml:space="preserve">Co-expression of cerebral palsy risk genes in the developing human brain: project timeline</t>
  </si>
  <si>
    <t xml:space="preserve">Project start (Monday of week 1)</t>
  </si>
  <si>
    <t xml:space="preserve">Yellow cell: change this date and every date and bar moves with it.</t>
  </si>
  <si>
    <t xml:space="preserve">Current week</t>
  </si>
  <si>
    <t xml:space="preserve">Progress</t>
  </si>
  <si>
    <t xml:space="preserve">Key</t>
  </si>
  <si>
    <t xml:space="preserve">Planned</t>
  </si>
  <si>
    <t xml:space="preserve">In progress</t>
  </si>
  <si>
    <t xml:space="preserve">Done</t>
  </si>
  <si>
    <t xml:space="preserve">Delayed</t>
  </si>
  <si>
    <t xml:space="preserve">Milestone</t>
  </si>
  <si>
    <t xml:space="preserve">ID</t>
  </si>
  <si>
    <t xml:space="preserve">Phase</t>
  </si>
  <si>
    <t xml:space="preserve">Task</t>
  </si>
  <si>
    <t xml:space="preserve">Owner</t>
  </si>
  <si>
    <t xml:space="preserve">Start week</t>
  </si>
  <si>
    <t xml:space="preserve">End week</t>
  </si>
  <si>
    <t xml:space="preserve">Start date</t>
  </si>
  <si>
    <t xml:space="preserve">End date</t>
  </si>
  <si>
    <t xml:space="preserve">Status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</si>
  <si>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</si>
  <si>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</si>
  <si>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</si>
  <si>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</si>
  <si>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</si>
  <si>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</si>
  <si>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</si>
  <si>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</si>
  <si>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Week number</t>
  </si>
  <si>
    <t xml:space="preserve">Week starting</t>
  </si>
  <si>
    <t xml:space="preserve">1. Set-up and protocol</t>
  </si>
  <si>
    <t xml:space="preserve">Email protocol, title and eligibility criteria to supervisor</t>
  </si>
  <si>
    <t xml:space="preserve">Me</t>
  </si>
  <si>
    <t xml:space="preserve">Not started</t>
  </si>
  <si>
    <t xml:space="preserve">Agree second screener and screening proportion</t>
  </si>
  <si>
    <t xml:space="preserve">Me + supervisor</t>
  </si>
  <si>
    <t xml:space="preserve">Confirm access to Embase and Web of Science or Scopus</t>
  </si>
  <si>
    <t xml:space="preserve">Get Jin 2020 full text and check for a brain expression analysis</t>
  </si>
  <si>
    <t xml:space="preserve">Check search strings with supervisor or librarian</t>
  </si>
  <si>
    <t xml:space="preserve">MILESTONE: protocol registered on OSF</t>
  </si>
  <si>
    <t xml:space="preserve">Set up Rayyan, Zotero, R and RStudio, and search alerts</t>
  </si>
  <si>
    <t xml:space="preserve">Core reading (14-day reading plan)</t>
  </si>
  <si>
    <t xml:space="preserve">2. Searching and screening</t>
  </si>
  <si>
    <t xml:space="preserve">Run all searches on one day and complete the search log</t>
  </si>
  <si>
    <t xml:space="preserve">Import records to Rayyan and remove duplicates</t>
  </si>
  <si>
    <t xml:space="preserve">Pilot screening of 50 records with second screener</t>
  </si>
  <si>
    <t xml:space="preserve">Me + second screener</t>
  </si>
  <si>
    <t xml:space="preserve">Title and abstract screening, Search B (gap)</t>
  </si>
  <si>
    <t xml:space="preserve">Title and abstract screening, Search A (genes)</t>
  </si>
  <si>
    <t xml:space="preserve">Full-text screening, Searches A and B</t>
  </si>
  <si>
    <t xml:space="preserve">Citation chasing and registry checks</t>
  </si>
  <si>
    <t xml:space="preserve">3. Extraction</t>
  </si>
  <si>
    <t xml:space="preserve">Extract gene data from main texts and supplements</t>
  </si>
  <si>
    <t xml:space="preserve">Assign gene evidence tiers (ClinGen, Gene2Phenotype)</t>
  </si>
  <si>
    <t xml:space="preserve">Complete gap table (criteria A, B, C)</t>
  </si>
  <si>
    <t xml:space="preserve">Draw PRISMA flow diagrams</t>
  </si>
  <si>
    <t xml:space="preserve">MILESTONE: gap confirmed and Tier 1 gene list final</t>
  </si>
  <si>
    <t xml:space="preserve">4. Analysis</t>
  </si>
  <si>
    <t xml:space="preserve">Practise WGCNA on a small BrainSpan subset</t>
  </si>
  <si>
    <t xml:space="preserve">Download and prepare BrainSpan data</t>
  </si>
  <si>
    <t xml:space="preserve">Build co-expression networks and test CP gene enrichment</t>
  </si>
  <si>
    <t xml:space="preserve">Map CP modules to brain regions and developmental periods</t>
  </si>
  <si>
    <t xml:space="preserve">Cell-type enrichment using developing-brain single-cell data</t>
  </si>
  <si>
    <t xml:space="preserve">Specificity comparison (SFARI, Gene2Phenotype) and robustness checks</t>
  </si>
  <si>
    <t xml:space="preserve">Exploratory: genes from children with and without perinatal risk factors</t>
  </si>
  <si>
    <t xml:space="preserve">5. Writing and preprint</t>
  </si>
  <si>
    <t xml:space="preserve">Draft methods and results with figures</t>
  </si>
  <si>
    <t xml:space="preserve">Draft introduction and discussion</t>
  </si>
  <si>
    <t xml:space="preserve">Supervisor review and revisions</t>
  </si>
  <si>
    <t xml:space="preserve">Update searches; complete PRISMA checklist</t>
  </si>
  <si>
    <t xml:space="preserve">Upload code to GitHub and Zenodo</t>
  </si>
  <si>
    <t xml:space="preserve">MILESTONE: preprint posted (bioRxiv or medRxiv)</t>
  </si>
  <si>
    <t xml:space="preserve">How to use: set Status in column I from the dropdown. Change Start week or End week (blue) to move a bar. Bars colour by status; the current week is shaded.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</si>
</sst>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 mmm\ yyyy"/>
    <numFmt numFmtId="166" formatCode="General"/>
    <numFmt numFmtId="167" formatCode="d\ mmm"/>
    <numFmt numFmtId="168" formatCode=";;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DC3E6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rgb="FFA9D18E"/>
        <bgColor rgb="FFBFBFBF"/>
      </patternFill>
    </fill>
    <fill>
      <patternFill patternType="solid">
        <fgColor rgb="FFFF7C80"/>
        <bgColor rgb="FFFF99CC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7030A0"/>
        </patternFill>
      </fill>
    </dxf>
    <dxf>
      <fill>
        <patternFill>
          <bgColor rgb="FFA9D18E"/>
        </patternFill>
      </fill>
    </dxf>
    <dxf>
      <fill>
        <patternFill>
          <bgColor rgb="FFFF7C80"/>
        </patternFill>
      </fill>
    </dxf>
    <dxf>
      <fill>
        <patternFill>
          <bgColor rgb="FFF4B183"/>
        </patternFill>
      </fill>
    </dxf>
    <dxf>
      <fill>
        <patternFill>
          <bgColor rgb="FF9DC3E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6"/>
      <rgbColor rgb="FF660066"/>
      <rgbColor rgb="FFFF7C80"/>
      <rgbColor rgb="FF0066CC"/>
      <rgbColor rgb="FFE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A9D18E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6" min="5" style="0" width="8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7" min="10" style="0" width="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</v>
      </c>
      <c r="B2" s="2"/>
      <c r="C2" s="4" t="n">
        <v>46300</v>
      </c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3</v>
      </c>
      <c r="B3" s="2"/>
      <c r="C3" s="5" t="n">
        <f aca="true">MAX(1,INT((TODAY()-C2)/7)+1)</f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3" t="s">
        <v>4</v>
      </c>
      <c r="B4" s="2"/>
      <c r="C4" s="3" t="str">
        <f aca="false">COUNTIF(I9:I41,"Done")&amp;" of "&amp;COUNTA(C9:C41)&amp;" tasks done"</f>
        <v>0 of 33 tasks done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3" t="s">
        <v>5</v>
      </c>
      <c r="B5" s="2"/>
      <c r="C5" s="6" t="s">
        <v>6</v>
      </c>
      <c r="D5" s="7" t="s">
        <v>7</v>
      </c>
      <c r="E5" s="8" t="s">
        <v>8</v>
      </c>
      <c r="F5" s="9" t="s">
        <v>9</v>
      </c>
      <c r="G5" s="10" t="s">
        <v>10</v>
      </c>
      <c r="H5" s="11" t="s">
        <v>3</v>
      </c>
      <c r="I5" s="2"/>
      <c r="J5" s="2"/>
      <c r="K5" s="2"/>
      <c r="L5" s="2"/>
      <c r="M5" s="2"/>
      <c r="N5" s="2"/>
      <c r="O5" s="2"/>
      <c r="P5" s="2"/>
      <c r="Q5" s="2"/>
    </row>
    <row r="6" customFormat="false" ht="30" hidden="false" customHeight="true" outlineLevel="0" collapsed="false">
      <c r="A6" s="12" t="s">
        <v>11</v>
      </c>
      <c r="B6" s="12" t="s">
        <v>12</v>
      </c>
      <c r="C6" s="12" t="s">
        <v>13</v>
      </c>
      <c r="D6" s="12" t="s">
        <v>14</v>
      </c>
      <c r="E6" s="12" t="s">
        <v>15</v>
      </c>
      <c r="F6" s="12" t="s">
        <v>16</v>
      </c>
      <c r="G6" s="12" t="s">
        <v>17</v>
      </c>
      <c r="H6" s="12" t="s">
        <v>18</v>
      </c>
      <c r="I6" s="12" t="s">
        <v>19</v>
      </c>
      <c r="J6" s="12" t="s">
        <v>20</v>
      </c>
      <c r="K6" s="12" t="s">
        <v>21</v>
      </c>
      <c r="L6" s="12" t="s">
        <v>22</v>
      </c>
      <c r="M6" s="12" t="s">
        <v>23</v>
      </c>
      <c r="N6" s="12" t="s">
        <v>24</v>
      </c>
      <c r="O6" s="12" t="s">
        <v>25</v>
      </c>
      <c r="P6" s="12" t="s">
        <v>26</v>
      </c>
      <c r="Q6" s="12" t="s">
        <v>27</v>
      </c>
    </row>
    <row r="7" customFormat="false" ht="15" hidden="false" customHeight="false" outlineLevel="0" collapsed="false">
      <c r="I7" s="13" t="s">
        <v>28</v>
      </c>
      <c r="J7" s="14" t="n">
        <v>1</v>
      </c>
      <c r="K7" s="14" t="n">
        <v>2</v>
      </c>
      <c r="L7" s="14" t="n">
        <v>3</v>
      </c>
      <c r="M7" s="14" t="n">
        <v>4</v>
      </c>
      <c r="N7" s="14" t="n">
        <v>5</v>
      </c>
      <c r="O7" s="14" t="n">
        <v>6</v>
      </c>
      <c r="P7" s="14" t="n">
        <v>7</v>
      </c>
      <c r="Q7" s="14" t="n">
        <v>8</v>
      </c>
    </row>
    <row r="8" customFormat="false" ht="15" hidden="false" customHeight="false" outlineLevel="0" collapsed="false">
      <c r="I8" s="13" t="s">
        <v>29</v>
      </c>
      <c r="J8" s="15" t="n">
        <f aca="false">$C$2+(J7-1)*7</f>
        <v>46300</v>
      </c>
      <c r="K8" s="15" t="n">
        <f aca="false">$C$2+(K7-1)*7</f>
        <v>46307</v>
      </c>
      <c r="L8" s="15" t="n">
        <f aca="false">$C$2+(L7-1)*7</f>
        <v>46314</v>
      </c>
      <c r="M8" s="15" t="n">
        <f aca="false">$C$2+(M7-1)*7</f>
        <v>46321</v>
      </c>
      <c r="N8" s="15" t="n">
        <f aca="false">$C$2+(N7-1)*7</f>
        <v>46328</v>
      </c>
      <c r="O8" s="15" t="n">
        <f aca="false">$C$2+(O7-1)*7</f>
        <v>46335</v>
      </c>
      <c r="P8" s="15" t="n">
        <f aca="false">$C$2+(P7-1)*7</f>
        <v>46342</v>
      </c>
      <c r="Q8" s="15" t="n">
        <f aca="false">$C$2+(Q7-1)*7</f>
        <v>46349</v>
      </c>
    </row>
    <row r="9" customFormat="false" ht="15" hidden="false" customHeight="false" outlineLevel="0" collapsed="false">
      <c r="A9" s="16" t="n">
        <v>1</v>
      </c>
      <c r="B9" s="17" t="s">
        <v>30</v>
      </c>
      <c r="C9" s="18" t="s">
        <v>31</v>
      </c>
      <c r="D9" s="18" t="s">
        <v>32</v>
      </c>
      <c r="E9" s="19" t="n">
        <v>1</v>
      </c>
      <c r="F9" s="19" t="n">
        <v>1</v>
      </c>
      <c r="G9" s="20" t="n">
        <f aca="false">$C$2+(E9-1)*7</f>
        <v>46300</v>
      </c>
      <c r="H9" s="20" t="n">
        <f aca="false">$C$2+(F9-1)*7+6</f>
        <v>46306</v>
      </c>
      <c r="I9" s="16" t="s">
        <v>33</v>
      </c>
      <c r="J9" s="21" t="n">
        <f aca="false">IF(AND(J$7&gt;=$E9,J$7&lt;=$F9),1,0)</f>
        <v>1</v>
      </c>
      <c r="K9" s="21" t="n">
        <f aca="false">IF(AND(K$7&gt;=$E9,K$7&lt;=$F9),1,0)</f>
        <v>0</v>
      </c>
      <c r="L9" s="21" t="n">
        <f aca="false">IF(AND(L$7&gt;=$E9,L$7&lt;=$F9),1,0)</f>
        <v>0</v>
      </c>
      <c r="M9" s="21" t="n">
        <f aca="false">IF(AND(M$7&gt;=$E9,M$7&lt;=$F9),1,0)</f>
        <v>0</v>
      </c>
      <c r="N9" s="21" t="n">
        <f aca="false">IF(AND(N$7&gt;=$E9,N$7&lt;=$F9),1,0)</f>
        <v>0</v>
      </c>
      <c r="O9" s="21" t="n">
        <f aca="false">IF(AND(O$7&gt;=$E9,O$7&lt;=$F9),1,0)</f>
        <v>0</v>
      </c>
      <c r="P9" s="21" t="n">
        <f aca="false">IF(AND(P$7&gt;=$E9,P$7&lt;=$F9),1,0)</f>
        <v>0</v>
      </c>
      <c r="Q9" s="21" t="n">
        <f aca="false">IF(AND(Q$7&gt;=$E9,Q$7&lt;=$F9),1,0)</f>
        <v>0</v>
      </c>
    </row>
    <row r="10" customFormat="false" ht="15" hidden="false" customHeight="false" outlineLevel="0" collapsed="false">
      <c r="A10" s="16" t="n">
        <v>2</v>
      </c>
      <c r="B10" s="17" t="s">
        <v>30</v>
      </c>
      <c r="C10" s="18" t="s">
        <v>34</v>
      </c>
      <c r="D10" s="18" t="s">
        <v>35</v>
      </c>
      <c r="E10" s="19" t="n">
        <v>1</v>
      </c>
      <c r="F10" s="19" t="n">
        <v>1</v>
      </c>
      <c r="G10" s="20" t="n">
        <f aca="false">$C$2+(E10-1)*7</f>
        <v>46300</v>
      </c>
      <c r="H10" s="20" t="n">
        <f aca="false">$C$2+(F10-1)*7+6</f>
        <v>46306</v>
      </c>
      <c r="I10" s="16" t="s">
        <v>33</v>
      </c>
      <c r="J10" s="21" t="n">
        <f aca="false">IF(AND(J$7&gt;=$E10,J$7&lt;=$F10),1,0)</f>
        <v>1</v>
      </c>
      <c r="K10" s="21" t="n">
        <f aca="false">IF(AND(K$7&gt;=$E10,K$7&lt;=$F10),1,0)</f>
        <v>0</v>
      </c>
      <c r="L10" s="21" t="n">
        <f aca="false">IF(AND(L$7&gt;=$E10,L$7&lt;=$F10),1,0)</f>
        <v>0</v>
      </c>
      <c r="M10" s="21" t="n">
        <f aca="false">IF(AND(M$7&gt;=$E10,M$7&lt;=$F10),1,0)</f>
        <v>0</v>
      </c>
      <c r="N10" s="21" t="n">
        <f aca="false">IF(AND(N$7&gt;=$E10,N$7&lt;=$F10),1,0)</f>
        <v>0</v>
      </c>
      <c r="O10" s="21" t="n">
        <f aca="false">IF(AND(O$7&gt;=$E10,O$7&lt;=$F10),1,0)</f>
        <v>0</v>
      </c>
      <c r="P10" s="21" t="n">
        <f aca="false">IF(AND(P$7&gt;=$E10,P$7&lt;=$F10),1,0)</f>
        <v>0</v>
      </c>
      <c r="Q10" s="21" t="n">
        <f aca="false">IF(AND(Q$7&gt;=$E10,Q$7&lt;=$F10),1,0)</f>
        <v>0</v>
      </c>
    </row>
    <row r="11" customFormat="false" ht="15" hidden="false" customHeight="false" outlineLevel="0" collapsed="false">
      <c r="A11" s="16" t="n">
        <v>3</v>
      </c>
      <c r="B11" s="17" t="s">
        <v>30</v>
      </c>
      <c r="C11" s="18" t="s">
        <v>36</v>
      </c>
      <c r="D11" s="18" t="s">
        <v>32</v>
      </c>
      <c r="E11" s="19" t="n">
        <v>1</v>
      </c>
      <c r="F11" s="19" t="n">
        <v>1</v>
      </c>
      <c r="G11" s="20" t="n">
        <f aca="false">$C$2+(E11-1)*7</f>
        <v>46300</v>
      </c>
      <c r="H11" s="20" t="n">
        <f aca="false">$C$2+(F11-1)*7+6</f>
        <v>46306</v>
      </c>
      <c r="I11" s="16" t="s">
        <v>33</v>
      </c>
      <c r="J11" s="21" t="n">
        <f aca="false">IF(AND(J$7&gt;=$E11,J$7&lt;=$F11),1,0)</f>
        <v>1</v>
      </c>
      <c r="K11" s="21" t="n">
        <f aca="false">IF(AND(K$7&gt;=$E11,K$7&lt;=$F11),1,0)</f>
        <v>0</v>
      </c>
      <c r="L11" s="21" t="n">
        <f aca="false">IF(AND(L$7&gt;=$E11,L$7&lt;=$F11),1,0)</f>
        <v>0</v>
      </c>
      <c r="M11" s="21" t="n">
        <f aca="false">IF(AND(M$7&gt;=$E11,M$7&lt;=$F11),1,0)</f>
        <v>0</v>
      </c>
      <c r="N11" s="21" t="n">
        <f aca="false">IF(AND(N$7&gt;=$E11,N$7&lt;=$F11),1,0)</f>
        <v>0</v>
      </c>
      <c r="O11" s="21" t="n">
        <f aca="false">IF(AND(O$7&gt;=$E11,O$7&lt;=$F11),1,0)</f>
        <v>0</v>
      </c>
      <c r="P11" s="21" t="n">
        <f aca="false">IF(AND(P$7&gt;=$E11,P$7&lt;=$F11),1,0)</f>
        <v>0</v>
      </c>
      <c r="Q11" s="21" t="n">
        <f aca="false">IF(AND(Q$7&gt;=$E11,Q$7&lt;=$F11),1,0)</f>
        <v>0</v>
      </c>
    </row>
    <row r="12" customFormat="false" ht="15" hidden="false" customHeight="false" outlineLevel="0" collapsed="false">
      <c r="A12" s="16" t="n">
        <v>4</v>
      </c>
      <c r="B12" s="17" t="s">
        <v>30</v>
      </c>
      <c r="C12" s="18" t="s">
        <v>37</v>
      </c>
      <c r="D12" s="18" t="s">
        <v>32</v>
      </c>
      <c r="E12" s="19" t="n">
        <v>1</v>
      </c>
      <c r="F12" s="19" t="n">
        <v>1</v>
      </c>
      <c r="G12" s="20" t="n">
        <f aca="false">$C$2+(E12-1)*7</f>
        <v>46300</v>
      </c>
      <c r="H12" s="20" t="n">
        <f aca="false">$C$2+(F12-1)*7+6</f>
        <v>46306</v>
      </c>
      <c r="I12" s="16" t="s">
        <v>33</v>
      </c>
      <c r="J12" s="21" t="n">
        <f aca="false">IF(AND(J$7&gt;=$E12,J$7&lt;=$F12),1,0)</f>
        <v>1</v>
      </c>
      <c r="K12" s="21" t="n">
        <f aca="false">IF(AND(K$7&gt;=$E12,K$7&lt;=$F12),1,0)</f>
        <v>0</v>
      </c>
      <c r="L12" s="21" t="n">
        <f aca="false">IF(AND(L$7&gt;=$E12,L$7&lt;=$F12),1,0)</f>
        <v>0</v>
      </c>
      <c r="M12" s="21" t="n">
        <f aca="false">IF(AND(M$7&gt;=$E12,M$7&lt;=$F12),1,0)</f>
        <v>0</v>
      </c>
      <c r="N12" s="21" t="n">
        <f aca="false">IF(AND(N$7&gt;=$E12,N$7&lt;=$F12),1,0)</f>
        <v>0</v>
      </c>
      <c r="O12" s="21" t="n">
        <f aca="false">IF(AND(O$7&gt;=$E12,O$7&lt;=$F12),1,0)</f>
        <v>0</v>
      </c>
      <c r="P12" s="21" t="n">
        <f aca="false">IF(AND(P$7&gt;=$E12,P$7&lt;=$F12),1,0)</f>
        <v>0</v>
      </c>
      <c r="Q12" s="21" t="n">
        <f aca="false">IF(AND(Q$7&gt;=$E12,Q$7&lt;=$F12),1,0)</f>
        <v>0</v>
      </c>
    </row>
    <row r="13" customFormat="false" ht="15" hidden="false" customHeight="false" outlineLevel="0" collapsed="false">
      <c r="A13" s="16" t="n">
        <v>5</v>
      </c>
      <c r="B13" s="17" t="s">
        <v>30</v>
      </c>
      <c r="C13" s="18" t="s">
        <v>38</v>
      </c>
      <c r="D13" s="18" t="s">
        <v>35</v>
      </c>
      <c r="E13" s="19" t="n">
        <v>1</v>
      </c>
      <c r="F13" s="19" t="n">
        <v>1</v>
      </c>
      <c r="G13" s="20" t="n">
        <f aca="false">$C$2+(E13-1)*7</f>
        <v>46300</v>
      </c>
      <c r="H13" s="20" t="n">
        <f aca="false">$C$2+(F13-1)*7+6</f>
        <v>46306</v>
      </c>
      <c r="I13" s="16" t="s">
        <v>33</v>
      </c>
      <c r="J13" s="21" t="n">
        <f aca="false">IF(AND(J$7&gt;=$E13,J$7&lt;=$F13),1,0)</f>
        <v>1</v>
      </c>
      <c r="K13" s="21" t="n">
        <f aca="false">IF(AND(K$7&gt;=$E13,K$7&lt;=$F13),1,0)</f>
        <v>0</v>
      </c>
      <c r="L13" s="21" t="n">
        <f aca="false">IF(AND(L$7&gt;=$E13,L$7&lt;=$F13),1,0)</f>
        <v>0</v>
      </c>
      <c r="M13" s="21" t="n">
        <f aca="false">IF(AND(M$7&gt;=$E13,M$7&lt;=$F13),1,0)</f>
        <v>0</v>
      </c>
      <c r="N13" s="21" t="n">
        <f aca="false">IF(AND(N$7&gt;=$E13,N$7&lt;=$F13),1,0)</f>
        <v>0</v>
      </c>
      <c r="O13" s="21" t="n">
        <f aca="false">IF(AND(O$7&gt;=$E13,O$7&lt;=$F13),1,0)</f>
        <v>0</v>
      </c>
      <c r="P13" s="21" t="n">
        <f aca="false">IF(AND(P$7&gt;=$E13,P$7&lt;=$F13),1,0)</f>
        <v>0</v>
      </c>
      <c r="Q13" s="21" t="n">
        <f aca="false">IF(AND(Q$7&gt;=$E13,Q$7&lt;=$F13),1,0)</f>
        <v>0</v>
      </c>
    </row>
    <row r="14" customFormat="false" ht="15" hidden="false" customHeight="false" outlineLevel="0" collapsed="false">
      <c r="A14" s="22" t="n">
        <v>6</v>
      </c>
      <c r="B14" s="23" t="s">
        <v>30</v>
      </c>
      <c r="C14" s="24" t="s">
        <v>39</v>
      </c>
      <c r="D14" s="24" t="s">
        <v>32</v>
      </c>
      <c r="E14" s="19" t="n">
        <v>1</v>
      </c>
      <c r="F14" s="19" t="n">
        <v>1</v>
      </c>
      <c r="G14" s="25" t="n">
        <f aca="false">$C$2+(E14-1)*7</f>
        <v>46300</v>
      </c>
      <c r="H14" s="25" t="n">
        <f aca="false">$C$2+(F14-1)*7+6</f>
        <v>46306</v>
      </c>
      <c r="I14" s="22" t="s">
        <v>33</v>
      </c>
      <c r="J14" s="21" t="n">
        <f aca="false">IF(AND(J$7&gt;=$E14,J$7&lt;=$F14),1,0)</f>
        <v>1</v>
      </c>
      <c r="K14" s="21" t="n">
        <f aca="false">IF(AND(K$7&gt;=$E14,K$7&lt;=$F14),1,0)</f>
        <v>0</v>
      </c>
      <c r="L14" s="21" t="n">
        <f aca="false">IF(AND(L$7&gt;=$E14,L$7&lt;=$F14),1,0)</f>
        <v>0</v>
      </c>
      <c r="M14" s="21" t="n">
        <f aca="false">IF(AND(M$7&gt;=$E14,M$7&lt;=$F14),1,0)</f>
        <v>0</v>
      </c>
      <c r="N14" s="21" t="n">
        <f aca="false">IF(AND(N$7&gt;=$E14,N$7&lt;=$F14),1,0)</f>
        <v>0</v>
      </c>
      <c r="O14" s="21" t="n">
        <f aca="false">IF(AND(O$7&gt;=$E14,O$7&lt;=$F14),1,0)</f>
        <v>0</v>
      </c>
      <c r="P14" s="21" t="n">
        <f aca="false">IF(AND(P$7&gt;=$E14,P$7&lt;=$F14),1,0)</f>
        <v>0</v>
      </c>
      <c r="Q14" s="21" t="n">
        <f aca="false">IF(AND(Q$7&gt;=$E14,Q$7&lt;=$F14),1,0)</f>
        <v>0</v>
      </c>
    </row>
    <row r="15" customFormat="false" ht="15" hidden="false" customHeight="false" outlineLevel="0" collapsed="false">
      <c r="A15" s="16" t="n">
        <v>7</v>
      </c>
      <c r="B15" s="17" t="s">
        <v>30</v>
      </c>
      <c r="C15" s="18" t="s">
        <v>40</v>
      </c>
      <c r="D15" s="18" t="s">
        <v>32</v>
      </c>
      <c r="E15" s="19" t="n">
        <v>1</v>
      </c>
      <c r="F15" s="19" t="n">
        <v>1</v>
      </c>
      <c r="G15" s="20" t="n">
        <f aca="false">$C$2+(E15-1)*7</f>
        <v>46300</v>
      </c>
      <c r="H15" s="20" t="n">
        <f aca="false">$C$2+(F15-1)*7+6</f>
        <v>46306</v>
      </c>
      <c r="I15" s="16" t="s">
        <v>33</v>
      </c>
      <c r="J15" s="21" t="n">
        <f aca="false">IF(AND(J$7&gt;=$E15,J$7&lt;=$F15),1,0)</f>
        <v>1</v>
      </c>
      <c r="K15" s="21" t="n">
        <f aca="false">IF(AND(K$7&gt;=$E15,K$7&lt;=$F15),1,0)</f>
        <v>0</v>
      </c>
      <c r="L15" s="21" t="n">
        <f aca="false">IF(AND(L$7&gt;=$E15,L$7&lt;=$F15),1,0)</f>
        <v>0</v>
      </c>
      <c r="M15" s="21" t="n">
        <f aca="false">IF(AND(M$7&gt;=$E15,M$7&lt;=$F15),1,0)</f>
        <v>0</v>
      </c>
      <c r="N15" s="21" t="n">
        <f aca="false">IF(AND(N$7&gt;=$E15,N$7&lt;=$F15),1,0)</f>
        <v>0</v>
      </c>
      <c r="O15" s="21" t="n">
        <f aca="false">IF(AND(O$7&gt;=$E15,O$7&lt;=$F15),1,0)</f>
        <v>0</v>
      </c>
      <c r="P15" s="21" t="n">
        <f aca="false">IF(AND(P$7&gt;=$E15,P$7&lt;=$F15),1,0)</f>
        <v>0</v>
      </c>
      <c r="Q15" s="21" t="n">
        <f aca="false">IF(AND(Q$7&gt;=$E15,Q$7&lt;=$F15),1,0)</f>
        <v>0</v>
      </c>
    </row>
    <row r="16" customFormat="false" ht="15" hidden="false" customHeight="false" outlineLevel="0" collapsed="false">
      <c r="A16" s="16" t="n">
        <v>8</v>
      </c>
      <c r="B16" s="17" t="s">
        <v>30</v>
      </c>
      <c r="C16" s="18" t="s">
        <v>41</v>
      </c>
      <c r="D16" s="18" t="s">
        <v>32</v>
      </c>
      <c r="E16" s="19" t="n">
        <v>1</v>
      </c>
      <c r="F16" s="19" t="n">
        <v>2</v>
      </c>
      <c r="G16" s="20" t="n">
        <f aca="false">$C$2+(E16-1)*7</f>
        <v>46300</v>
      </c>
      <c r="H16" s="20" t="n">
        <f aca="false">$C$2+(F16-1)*7+6</f>
        <v>46313</v>
      </c>
      <c r="I16" s="16" t="s">
        <v>33</v>
      </c>
      <c r="J16" s="21" t="n">
        <f aca="false">IF(AND(J$7&gt;=$E16,J$7&lt;=$F16),1,0)</f>
        <v>1</v>
      </c>
      <c r="K16" s="21" t="n">
        <f aca="false">IF(AND(K$7&gt;=$E16,K$7&lt;=$F16),1,0)</f>
        <v>1</v>
      </c>
      <c r="L16" s="21" t="n">
        <f aca="false">IF(AND(L$7&gt;=$E16,L$7&lt;=$F16),1,0)</f>
        <v>0</v>
      </c>
      <c r="M16" s="21" t="n">
        <f aca="false">IF(AND(M$7&gt;=$E16,M$7&lt;=$F16),1,0)</f>
        <v>0</v>
      </c>
      <c r="N16" s="21" t="n">
        <f aca="false">IF(AND(N$7&gt;=$E16,N$7&lt;=$F16),1,0)</f>
        <v>0</v>
      </c>
      <c r="O16" s="21" t="n">
        <f aca="false">IF(AND(O$7&gt;=$E16,O$7&lt;=$F16),1,0)</f>
        <v>0</v>
      </c>
      <c r="P16" s="21" t="n">
        <f aca="false">IF(AND(P$7&gt;=$E16,P$7&lt;=$F16),1,0)</f>
        <v>0</v>
      </c>
      <c r="Q16" s="21" t="n">
        <f aca="false">IF(AND(Q$7&gt;=$E16,Q$7&lt;=$F16),1,0)</f>
        <v>0</v>
      </c>
    </row>
    <row r="17" customFormat="false" ht="23.85" hidden="false" customHeight="false" outlineLevel="0" collapsed="false">
      <c r="A17" s="16" t="n">
        <v>9</v>
      </c>
      <c r="B17" s="26" t="s">
        <v>42</v>
      </c>
      <c r="C17" s="18" t="s">
        <v>43</v>
      </c>
      <c r="D17" s="18" t="s">
        <v>32</v>
      </c>
      <c r="E17" s="19" t="n">
        <v>2</v>
      </c>
      <c r="F17" s="19" t="n">
        <v>2</v>
      </c>
      <c r="G17" s="20" t="n">
        <f aca="false">$C$2+(E17-1)*7</f>
        <v>46307</v>
      </c>
      <c r="H17" s="20" t="n">
        <f aca="false">$C$2+(F17-1)*7+6</f>
        <v>46313</v>
      </c>
      <c r="I17" s="16" t="s">
        <v>33</v>
      </c>
      <c r="J17" s="21" t="n">
        <f aca="false">IF(AND(J$7&gt;=$E17,J$7&lt;=$F17),1,0)</f>
        <v>0</v>
      </c>
      <c r="K17" s="21" t="n">
        <f aca="false">IF(AND(K$7&gt;=$E17,K$7&lt;=$F17),1,0)</f>
        <v>1</v>
      </c>
      <c r="L17" s="21" t="n">
        <f aca="false">IF(AND(L$7&gt;=$E17,L$7&lt;=$F17),1,0)</f>
        <v>0</v>
      </c>
      <c r="M17" s="21" t="n">
        <f aca="false">IF(AND(M$7&gt;=$E17,M$7&lt;=$F17),1,0)</f>
        <v>0</v>
      </c>
      <c r="N17" s="21" t="n">
        <f aca="false">IF(AND(N$7&gt;=$E17,N$7&lt;=$F17),1,0)</f>
        <v>0</v>
      </c>
      <c r="O17" s="21" t="n">
        <f aca="false">IF(AND(O$7&gt;=$E17,O$7&lt;=$F17),1,0)</f>
        <v>0</v>
      </c>
      <c r="P17" s="21" t="n">
        <f aca="false">IF(AND(P$7&gt;=$E17,P$7&lt;=$F17),1,0)</f>
        <v>0</v>
      </c>
      <c r="Q17" s="21" t="n">
        <f aca="false">IF(AND(Q$7&gt;=$E17,Q$7&lt;=$F17),1,0)</f>
        <v>0</v>
      </c>
    </row>
    <row r="18" customFormat="false" ht="23.85" hidden="false" customHeight="false" outlineLevel="0" collapsed="false">
      <c r="A18" s="16" t="n">
        <v>10</v>
      </c>
      <c r="B18" s="26" t="s">
        <v>42</v>
      </c>
      <c r="C18" s="18" t="s">
        <v>44</v>
      </c>
      <c r="D18" s="18" t="s">
        <v>32</v>
      </c>
      <c r="E18" s="19" t="n">
        <v>2</v>
      </c>
      <c r="F18" s="19" t="n">
        <v>2</v>
      </c>
      <c r="G18" s="20" t="n">
        <f aca="false">$C$2+(E18-1)*7</f>
        <v>46307</v>
      </c>
      <c r="H18" s="20" t="n">
        <f aca="false">$C$2+(F18-1)*7+6</f>
        <v>46313</v>
      </c>
      <c r="I18" s="16" t="s">
        <v>33</v>
      </c>
      <c r="J18" s="21" t="n">
        <f aca="false">IF(AND(J$7&gt;=$E18,J$7&lt;=$F18),1,0)</f>
        <v>0</v>
      </c>
      <c r="K18" s="21" t="n">
        <f aca="false">IF(AND(K$7&gt;=$E18,K$7&lt;=$F18),1,0)</f>
        <v>1</v>
      </c>
      <c r="L18" s="21" t="n">
        <f aca="false">IF(AND(L$7&gt;=$E18,L$7&lt;=$F18),1,0)</f>
        <v>0</v>
      </c>
      <c r="M18" s="21" t="n">
        <f aca="false">IF(AND(M$7&gt;=$E18,M$7&lt;=$F18),1,0)</f>
        <v>0</v>
      </c>
      <c r="N18" s="21" t="n">
        <f aca="false">IF(AND(N$7&gt;=$E18,N$7&lt;=$F18),1,0)</f>
        <v>0</v>
      </c>
      <c r="O18" s="21" t="n">
        <f aca="false">IF(AND(O$7&gt;=$E18,O$7&lt;=$F18),1,0)</f>
        <v>0</v>
      </c>
      <c r="P18" s="21" t="n">
        <f aca="false">IF(AND(P$7&gt;=$E18,P$7&lt;=$F18),1,0)</f>
        <v>0</v>
      </c>
      <c r="Q18" s="21" t="n">
        <f aca="false">IF(AND(Q$7&gt;=$E18,Q$7&lt;=$F18),1,0)</f>
        <v>0</v>
      </c>
    </row>
    <row r="19" customFormat="false" ht="23.85" hidden="false" customHeight="false" outlineLevel="0" collapsed="false">
      <c r="A19" s="16" t="n">
        <v>11</v>
      </c>
      <c r="B19" s="26" t="s">
        <v>42</v>
      </c>
      <c r="C19" s="18" t="s">
        <v>45</v>
      </c>
      <c r="D19" s="18" t="s">
        <v>46</v>
      </c>
      <c r="E19" s="19" t="n">
        <v>2</v>
      </c>
      <c r="F19" s="19" t="n">
        <v>2</v>
      </c>
      <c r="G19" s="20" t="n">
        <f aca="false">$C$2+(E19-1)*7</f>
        <v>46307</v>
      </c>
      <c r="H19" s="20" t="n">
        <f aca="false">$C$2+(F19-1)*7+6</f>
        <v>46313</v>
      </c>
      <c r="I19" s="16" t="s">
        <v>33</v>
      </c>
      <c r="J19" s="21" t="n">
        <f aca="false">IF(AND(J$7&gt;=$E19,J$7&lt;=$F19),1,0)</f>
        <v>0</v>
      </c>
      <c r="K19" s="21" t="n">
        <f aca="false">IF(AND(K$7&gt;=$E19,K$7&lt;=$F19),1,0)</f>
        <v>1</v>
      </c>
      <c r="L19" s="21" t="n">
        <f aca="false">IF(AND(L$7&gt;=$E19,L$7&lt;=$F19),1,0)</f>
        <v>0</v>
      </c>
      <c r="M19" s="21" t="n">
        <f aca="false">IF(AND(M$7&gt;=$E19,M$7&lt;=$F19),1,0)</f>
        <v>0</v>
      </c>
      <c r="N19" s="21" t="n">
        <f aca="false">IF(AND(N$7&gt;=$E19,N$7&lt;=$F19),1,0)</f>
        <v>0</v>
      </c>
      <c r="O19" s="21" t="n">
        <f aca="false">IF(AND(O$7&gt;=$E19,O$7&lt;=$F19),1,0)</f>
        <v>0</v>
      </c>
      <c r="P19" s="21" t="n">
        <f aca="false">IF(AND(P$7&gt;=$E19,P$7&lt;=$F19),1,0)</f>
        <v>0</v>
      </c>
      <c r="Q19" s="21" t="n">
        <f aca="false">IF(AND(Q$7&gt;=$E19,Q$7&lt;=$F19),1,0)</f>
        <v>0</v>
      </c>
    </row>
    <row r="20" customFormat="false" ht="23.85" hidden="false" customHeight="false" outlineLevel="0" collapsed="false">
      <c r="A20" s="16" t="n">
        <v>12</v>
      </c>
      <c r="B20" s="26" t="s">
        <v>42</v>
      </c>
      <c r="C20" s="18" t="s">
        <v>47</v>
      </c>
      <c r="D20" s="18" t="s">
        <v>46</v>
      </c>
      <c r="E20" s="19" t="n">
        <v>2</v>
      </c>
      <c r="F20" s="19" t="n">
        <v>3</v>
      </c>
      <c r="G20" s="20" t="n">
        <f aca="false">$C$2+(E20-1)*7</f>
        <v>46307</v>
      </c>
      <c r="H20" s="20" t="n">
        <f aca="false">$C$2+(F20-1)*7+6</f>
        <v>46320</v>
      </c>
      <c r="I20" s="16" t="s">
        <v>33</v>
      </c>
      <c r="J20" s="21" t="n">
        <f aca="false">IF(AND(J$7&gt;=$E20,J$7&lt;=$F20),1,0)</f>
        <v>0</v>
      </c>
      <c r="K20" s="21" t="n">
        <f aca="false">IF(AND(K$7&gt;=$E20,K$7&lt;=$F20),1,0)</f>
        <v>1</v>
      </c>
      <c r="L20" s="21" t="n">
        <f aca="false">IF(AND(L$7&gt;=$E20,L$7&lt;=$F20),1,0)</f>
        <v>1</v>
      </c>
      <c r="M20" s="21" t="n">
        <f aca="false">IF(AND(M$7&gt;=$E20,M$7&lt;=$F20),1,0)</f>
        <v>0</v>
      </c>
      <c r="N20" s="21" t="n">
        <f aca="false">IF(AND(N$7&gt;=$E20,N$7&lt;=$F20),1,0)</f>
        <v>0</v>
      </c>
      <c r="O20" s="21" t="n">
        <f aca="false">IF(AND(O$7&gt;=$E20,O$7&lt;=$F20),1,0)</f>
        <v>0</v>
      </c>
      <c r="P20" s="21" t="n">
        <f aca="false">IF(AND(P$7&gt;=$E20,P$7&lt;=$F20),1,0)</f>
        <v>0</v>
      </c>
      <c r="Q20" s="21" t="n">
        <f aca="false">IF(AND(Q$7&gt;=$E20,Q$7&lt;=$F20),1,0)</f>
        <v>0</v>
      </c>
    </row>
    <row r="21" customFormat="false" ht="23.85" hidden="false" customHeight="false" outlineLevel="0" collapsed="false">
      <c r="A21" s="16" t="n">
        <v>13</v>
      </c>
      <c r="B21" s="26" t="s">
        <v>42</v>
      </c>
      <c r="C21" s="18" t="s">
        <v>48</v>
      </c>
      <c r="D21" s="18" t="s">
        <v>46</v>
      </c>
      <c r="E21" s="19" t="n">
        <v>2</v>
      </c>
      <c r="F21" s="19" t="n">
        <v>3</v>
      </c>
      <c r="G21" s="20" t="n">
        <f aca="false">$C$2+(E21-1)*7</f>
        <v>46307</v>
      </c>
      <c r="H21" s="20" t="n">
        <f aca="false">$C$2+(F21-1)*7+6</f>
        <v>46320</v>
      </c>
      <c r="I21" s="16" t="s">
        <v>33</v>
      </c>
      <c r="J21" s="21" t="n">
        <f aca="false">IF(AND(J$7&gt;=$E21,J$7&lt;=$F21),1,0)</f>
        <v>0</v>
      </c>
      <c r="K21" s="21" t="n">
        <f aca="false">IF(AND(K$7&gt;=$E21,K$7&lt;=$F21),1,0)</f>
        <v>1</v>
      </c>
      <c r="L21" s="21" t="n">
        <f aca="false">IF(AND(L$7&gt;=$E21,L$7&lt;=$F21),1,0)</f>
        <v>1</v>
      </c>
      <c r="M21" s="21" t="n">
        <f aca="false">IF(AND(M$7&gt;=$E21,M$7&lt;=$F21),1,0)</f>
        <v>0</v>
      </c>
      <c r="N21" s="21" t="n">
        <f aca="false">IF(AND(N$7&gt;=$E21,N$7&lt;=$F21),1,0)</f>
        <v>0</v>
      </c>
      <c r="O21" s="21" t="n">
        <f aca="false">IF(AND(O$7&gt;=$E21,O$7&lt;=$F21),1,0)</f>
        <v>0</v>
      </c>
      <c r="P21" s="21" t="n">
        <f aca="false">IF(AND(P$7&gt;=$E21,P$7&lt;=$F21),1,0)</f>
        <v>0</v>
      </c>
      <c r="Q21" s="21" t="n">
        <f aca="false">IF(AND(Q$7&gt;=$E21,Q$7&lt;=$F21),1,0)</f>
        <v>0</v>
      </c>
    </row>
    <row r="22" customFormat="false" ht="23.85" hidden="false" customHeight="false" outlineLevel="0" collapsed="false">
      <c r="A22" s="16" t="n">
        <v>14</v>
      </c>
      <c r="B22" s="26" t="s">
        <v>42</v>
      </c>
      <c r="C22" s="18" t="s">
        <v>49</v>
      </c>
      <c r="D22" s="18" t="s">
        <v>46</v>
      </c>
      <c r="E22" s="19" t="n">
        <v>3</v>
      </c>
      <c r="F22" s="19" t="n">
        <v>3</v>
      </c>
      <c r="G22" s="20" t="n">
        <f aca="false">$C$2+(E22-1)*7</f>
        <v>46314</v>
      </c>
      <c r="H22" s="20" t="n">
        <f aca="false">$C$2+(F22-1)*7+6</f>
        <v>46320</v>
      </c>
      <c r="I22" s="16" t="s">
        <v>33</v>
      </c>
      <c r="J22" s="21" t="n">
        <f aca="false">IF(AND(J$7&gt;=$E22,J$7&lt;=$F22),1,0)</f>
        <v>0</v>
      </c>
      <c r="K22" s="21" t="n">
        <f aca="false">IF(AND(K$7&gt;=$E22,K$7&lt;=$F22),1,0)</f>
        <v>0</v>
      </c>
      <c r="L22" s="21" t="n">
        <f aca="false">IF(AND(L$7&gt;=$E22,L$7&lt;=$F22),1,0)</f>
        <v>1</v>
      </c>
      <c r="M22" s="21" t="n">
        <f aca="false">IF(AND(M$7&gt;=$E22,M$7&lt;=$F22),1,0)</f>
        <v>0</v>
      </c>
      <c r="N22" s="21" t="n">
        <f aca="false">IF(AND(N$7&gt;=$E22,N$7&lt;=$F22),1,0)</f>
        <v>0</v>
      </c>
      <c r="O22" s="21" t="n">
        <f aca="false">IF(AND(O$7&gt;=$E22,O$7&lt;=$F22),1,0)</f>
        <v>0</v>
      </c>
      <c r="P22" s="21" t="n">
        <f aca="false">IF(AND(P$7&gt;=$E22,P$7&lt;=$F22),1,0)</f>
        <v>0</v>
      </c>
      <c r="Q22" s="21" t="n">
        <f aca="false">IF(AND(Q$7&gt;=$E22,Q$7&lt;=$F22),1,0)</f>
        <v>0</v>
      </c>
    </row>
    <row r="23" customFormat="false" ht="23.85" hidden="false" customHeight="false" outlineLevel="0" collapsed="false">
      <c r="A23" s="16" t="n">
        <v>15</v>
      </c>
      <c r="B23" s="26" t="s">
        <v>42</v>
      </c>
      <c r="C23" s="18" t="s">
        <v>50</v>
      </c>
      <c r="D23" s="18" t="s">
        <v>32</v>
      </c>
      <c r="E23" s="19" t="n">
        <v>3</v>
      </c>
      <c r="F23" s="19" t="n">
        <v>3</v>
      </c>
      <c r="G23" s="20" t="n">
        <f aca="false">$C$2+(E23-1)*7</f>
        <v>46314</v>
      </c>
      <c r="H23" s="20" t="n">
        <f aca="false">$C$2+(F23-1)*7+6</f>
        <v>46320</v>
      </c>
      <c r="I23" s="16" t="s">
        <v>33</v>
      </c>
      <c r="J23" s="21" t="n">
        <f aca="false">IF(AND(J$7&gt;=$E23,J$7&lt;=$F23),1,0)</f>
        <v>0</v>
      </c>
      <c r="K23" s="21" t="n">
        <f aca="false">IF(AND(K$7&gt;=$E23,K$7&lt;=$F23),1,0)</f>
        <v>0</v>
      </c>
      <c r="L23" s="21" t="n">
        <f aca="false">IF(AND(L$7&gt;=$E23,L$7&lt;=$F23),1,0)</f>
        <v>1</v>
      </c>
      <c r="M23" s="21" t="n">
        <f aca="false">IF(AND(M$7&gt;=$E23,M$7&lt;=$F23),1,0)</f>
        <v>0</v>
      </c>
      <c r="N23" s="21" t="n">
        <f aca="false">IF(AND(N$7&gt;=$E23,N$7&lt;=$F23),1,0)</f>
        <v>0</v>
      </c>
      <c r="O23" s="21" t="n">
        <f aca="false">IF(AND(O$7&gt;=$E23,O$7&lt;=$F23),1,0)</f>
        <v>0</v>
      </c>
      <c r="P23" s="21" t="n">
        <f aca="false">IF(AND(P$7&gt;=$E23,P$7&lt;=$F23),1,0)</f>
        <v>0</v>
      </c>
      <c r="Q23" s="21" t="n">
        <f aca="false">IF(AND(Q$7&gt;=$E23,Q$7&lt;=$F23),1,0)</f>
        <v>0</v>
      </c>
    </row>
    <row r="24" customFormat="false" ht="15" hidden="false" customHeight="false" outlineLevel="0" collapsed="false">
      <c r="A24" s="16" t="n">
        <v>16</v>
      </c>
      <c r="B24" s="27" t="s">
        <v>51</v>
      </c>
      <c r="C24" s="18" t="s">
        <v>52</v>
      </c>
      <c r="D24" s="18" t="s">
        <v>32</v>
      </c>
      <c r="E24" s="19" t="n">
        <v>3</v>
      </c>
      <c r="F24" s="19" t="n">
        <v>4</v>
      </c>
      <c r="G24" s="20" t="n">
        <f aca="false">$C$2+(E24-1)*7</f>
        <v>46314</v>
      </c>
      <c r="H24" s="20" t="n">
        <f aca="false">$C$2+(F24-1)*7+6</f>
        <v>46327</v>
      </c>
      <c r="I24" s="16" t="s">
        <v>33</v>
      </c>
      <c r="J24" s="21" t="n">
        <f aca="false">IF(AND(J$7&gt;=$E24,J$7&lt;=$F24),1,0)</f>
        <v>0</v>
      </c>
      <c r="K24" s="21" t="n">
        <f aca="false">IF(AND(K$7&gt;=$E24,K$7&lt;=$F24),1,0)</f>
        <v>0</v>
      </c>
      <c r="L24" s="21" t="n">
        <f aca="false">IF(AND(L$7&gt;=$E24,L$7&lt;=$F24),1,0)</f>
        <v>1</v>
      </c>
      <c r="M24" s="21" t="n">
        <f aca="false">IF(AND(M$7&gt;=$E24,M$7&lt;=$F24),1,0)</f>
        <v>1</v>
      </c>
      <c r="N24" s="21" t="n">
        <f aca="false">IF(AND(N$7&gt;=$E24,N$7&lt;=$F24),1,0)</f>
        <v>0</v>
      </c>
      <c r="O24" s="21" t="n">
        <f aca="false">IF(AND(O$7&gt;=$E24,O$7&lt;=$F24),1,0)</f>
        <v>0</v>
      </c>
      <c r="P24" s="21" t="n">
        <f aca="false">IF(AND(P$7&gt;=$E24,P$7&lt;=$F24),1,0)</f>
        <v>0</v>
      </c>
      <c r="Q24" s="21" t="n">
        <f aca="false">IF(AND(Q$7&gt;=$E24,Q$7&lt;=$F24),1,0)</f>
        <v>0</v>
      </c>
    </row>
    <row r="25" customFormat="false" ht="15" hidden="false" customHeight="false" outlineLevel="0" collapsed="false">
      <c r="A25" s="16" t="n">
        <v>17</v>
      </c>
      <c r="B25" s="27" t="s">
        <v>51</v>
      </c>
      <c r="C25" s="18" t="s">
        <v>53</v>
      </c>
      <c r="D25" s="18" t="s">
        <v>32</v>
      </c>
      <c r="E25" s="19" t="n">
        <v>4</v>
      </c>
      <c r="F25" s="19" t="n">
        <v>4</v>
      </c>
      <c r="G25" s="20" t="n">
        <f aca="false">$C$2+(E25-1)*7</f>
        <v>46321</v>
      </c>
      <c r="H25" s="20" t="n">
        <f aca="false">$C$2+(F25-1)*7+6</f>
        <v>46327</v>
      </c>
      <c r="I25" s="16" t="s">
        <v>33</v>
      </c>
      <c r="J25" s="21" t="n">
        <f aca="false">IF(AND(J$7&gt;=$E25,J$7&lt;=$F25),1,0)</f>
        <v>0</v>
      </c>
      <c r="K25" s="21" t="n">
        <f aca="false">IF(AND(K$7&gt;=$E25,K$7&lt;=$F25),1,0)</f>
        <v>0</v>
      </c>
      <c r="L25" s="21" t="n">
        <f aca="false">IF(AND(L$7&gt;=$E25,L$7&lt;=$F25),1,0)</f>
        <v>0</v>
      </c>
      <c r="M25" s="21" t="n">
        <f aca="false">IF(AND(M$7&gt;=$E25,M$7&lt;=$F25),1,0)</f>
        <v>1</v>
      </c>
      <c r="N25" s="21" t="n">
        <f aca="false">IF(AND(N$7&gt;=$E25,N$7&lt;=$F25),1,0)</f>
        <v>0</v>
      </c>
      <c r="O25" s="21" t="n">
        <f aca="false">IF(AND(O$7&gt;=$E25,O$7&lt;=$F25),1,0)</f>
        <v>0</v>
      </c>
      <c r="P25" s="21" t="n">
        <f aca="false">IF(AND(P$7&gt;=$E25,P$7&lt;=$F25),1,0)</f>
        <v>0</v>
      </c>
      <c r="Q25" s="21" t="n">
        <f aca="false">IF(AND(Q$7&gt;=$E25,Q$7&lt;=$F25),1,0)</f>
        <v>0</v>
      </c>
    </row>
    <row r="26" customFormat="false" ht="23.85" hidden="false" customHeight="false" outlineLevel="0" collapsed="false">
      <c r="A26" s="16" t="n">
        <v>18</v>
      </c>
      <c r="B26" s="27" t="s">
        <v>51</v>
      </c>
      <c r="C26" s="18" t="s">
        <v>54</v>
      </c>
      <c r="D26" s="18" t="s">
        <v>46</v>
      </c>
      <c r="E26" s="19" t="n">
        <v>4</v>
      </c>
      <c r="F26" s="19" t="n">
        <v>4</v>
      </c>
      <c r="G26" s="20" t="n">
        <f aca="false">$C$2+(E26-1)*7</f>
        <v>46321</v>
      </c>
      <c r="H26" s="20" t="n">
        <f aca="false">$C$2+(F26-1)*7+6</f>
        <v>46327</v>
      </c>
      <c r="I26" s="16" t="s">
        <v>33</v>
      </c>
      <c r="J26" s="21" t="n">
        <f aca="false">IF(AND(J$7&gt;=$E26,J$7&lt;=$F26),1,0)</f>
        <v>0</v>
      </c>
      <c r="K26" s="21" t="n">
        <f aca="false">IF(AND(K$7&gt;=$E26,K$7&lt;=$F26),1,0)</f>
        <v>0</v>
      </c>
      <c r="L26" s="21" t="n">
        <f aca="false">IF(AND(L$7&gt;=$E26,L$7&lt;=$F26),1,0)</f>
        <v>0</v>
      </c>
      <c r="M26" s="21" t="n">
        <f aca="false">IF(AND(M$7&gt;=$E26,M$7&lt;=$F26),1,0)</f>
        <v>1</v>
      </c>
      <c r="N26" s="21" t="n">
        <f aca="false">IF(AND(N$7&gt;=$E26,N$7&lt;=$F26),1,0)</f>
        <v>0</v>
      </c>
      <c r="O26" s="21" t="n">
        <f aca="false">IF(AND(O$7&gt;=$E26,O$7&lt;=$F26),1,0)</f>
        <v>0</v>
      </c>
      <c r="P26" s="21" t="n">
        <f aca="false">IF(AND(P$7&gt;=$E26,P$7&lt;=$F26),1,0)</f>
        <v>0</v>
      </c>
      <c r="Q26" s="21" t="n">
        <f aca="false">IF(AND(Q$7&gt;=$E26,Q$7&lt;=$F26),1,0)</f>
        <v>0</v>
      </c>
    </row>
    <row r="27" customFormat="false" ht="15" hidden="false" customHeight="false" outlineLevel="0" collapsed="false">
      <c r="A27" s="16" t="n">
        <v>19</v>
      </c>
      <c r="B27" s="27" t="s">
        <v>51</v>
      </c>
      <c r="C27" s="18" t="s">
        <v>55</v>
      </c>
      <c r="D27" s="18" t="s">
        <v>32</v>
      </c>
      <c r="E27" s="19" t="n">
        <v>4</v>
      </c>
      <c r="F27" s="19" t="n">
        <v>4</v>
      </c>
      <c r="G27" s="20" t="n">
        <f aca="false">$C$2+(E27-1)*7</f>
        <v>46321</v>
      </c>
      <c r="H27" s="20" t="n">
        <f aca="false">$C$2+(F27-1)*7+6</f>
        <v>46327</v>
      </c>
      <c r="I27" s="16" t="s">
        <v>33</v>
      </c>
      <c r="J27" s="21" t="n">
        <f aca="false">IF(AND(J$7&gt;=$E27,J$7&lt;=$F27),1,0)</f>
        <v>0</v>
      </c>
      <c r="K27" s="21" t="n">
        <f aca="false">IF(AND(K$7&gt;=$E27,K$7&lt;=$F27),1,0)</f>
        <v>0</v>
      </c>
      <c r="L27" s="21" t="n">
        <f aca="false">IF(AND(L$7&gt;=$E27,L$7&lt;=$F27),1,0)</f>
        <v>0</v>
      </c>
      <c r="M27" s="21" t="n">
        <f aca="false">IF(AND(M$7&gt;=$E27,M$7&lt;=$F27),1,0)</f>
        <v>1</v>
      </c>
      <c r="N27" s="21" t="n">
        <f aca="false">IF(AND(N$7&gt;=$E27,N$7&lt;=$F27),1,0)</f>
        <v>0</v>
      </c>
      <c r="O27" s="21" t="n">
        <f aca="false">IF(AND(O$7&gt;=$E27,O$7&lt;=$F27),1,0)</f>
        <v>0</v>
      </c>
      <c r="P27" s="21" t="n">
        <f aca="false">IF(AND(P$7&gt;=$E27,P$7&lt;=$F27),1,0)</f>
        <v>0</v>
      </c>
      <c r="Q27" s="21" t="n">
        <f aca="false">IF(AND(Q$7&gt;=$E27,Q$7&lt;=$F27),1,0)</f>
        <v>0</v>
      </c>
    </row>
    <row r="28" customFormat="false" ht="15" hidden="false" customHeight="false" outlineLevel="0" collapsed="false">
      <c r="A28" s="22" t="n">
        <v>20</v>
      </c>
      <c r="B28" s="28" t="s">
        <v>51</v>
      </c>
      <c r="C28" s="24" t="s">
        <v>56</v>
      </c>
      <c r="D28" s="24" t="s">
        <v>35</v>
      </c>
      <c r="E28" s="19" t="n">
        <v>4</v>
      </c>
      <c r="F28" s="19" t="n">
        <v>4</v>
      </c>
      <c r="G28" s="25" t="n">
        <f aca="false">$C$2+(E28-1)*7</f>
        <v>46321</v>
      </c>
      <c r="H28" s="25" t="n">
        <f aca="false">$C$2+(F28-1)*7+6</f>
        <v>46327</v>
      </c>
      <c r="I28" s="22" t="s">
        <v>33</v>
      </c>
      <c r="J28" s="21" t="n">
        <f aca="false">IF(AND(J$7&gt;=$E28,J$7&lt;=$F28),1,0)</f>
        <v>0</v>
      </c>
      <c r="K28" s="21" t="n">
        <f aca="false">IF(AND(K$7&gt;=$E28,K$7&lt;=$F28),1,0)</f>
        <v>0</v>
      </c>
      <c r="L28" s="21" t="n">
        <f aca="false">IF(AND(L$7&gt;=$E28,L$7&lt;=$F28),1,0)</f>
        <v>0</v>
      </c>
      <c r="M28" s="21" t="n">
        <f aca="false">IF(AND(M$7&gt;=$E28,M$7&lt;=$F28),1,0)</f>
        <v>1</v>
      </c>
      <c r="N28" s="21" t="n">
        <f aca="false">IF(AND(N$7&gt;=$E28,N$7&lt;=$F28),1,0)</f>
        <v>0</v>
      </c>
      <c r="O28" s="21" t="n">
        <f aca="false">IF(AND(O$7&gt;=$E28,O$7&lt;=$F28),1,0)</f>
        <v>0</v>
      </c>
      <c r="P28" s="21" t="n">
        <f aca="false">IF(AND(P$7&gt;=$E28,P$7&lt;=$F28),1,0)</f>
        <v>0</v>
      </c>
      <c r="Q28" s="21" t="n">
        <f aca="false">IF(AND(Q$7&gt;=$E28,Q$7&lt;=$F28),1,0)</f>
        <v>0</v>
      </c>
    </row>
    <row r="29" customFormat="false" ht="15" hidden="false" customHeight="false" outlineLevel="0" collapsed="false">
      <c r="A29" s="16" t="n">
        <v>21</v>
      </c>
      <c r="B29" s="29" t="s">
        <v>57</v>
      </c>
      <c r="C29" s="18" t="s">
        <v>58</v>
      </c>
      <c r="D29" s="18" t="s">
        <v>32</v>
      </c>
      <c r="E29" s="19" t="n">
        <v>3</v>
      </c>
      <c r="F29" s="19" t="n">
        <v>4</v>
      </c>
      <c r="G29" s="20" t="n">
        <f aca="false">$C$2+(E29-1)*7</f>
        <v>46314</v>
      </c>
      <c r="H29" s="20" t="n">
        <f aca="false">$C$2+(F29-1)*7+6</f>
        <v>46327</v>
      </c>
      <c r="I29" s="16" t="s">
        <v>33</v>
      </c>
      <c r="J29" s="21" t="n">
        <f aca="false">IF(AND(J$7&gt;=$E29,J$7&lt;=$F29),1,0)</f>
        <v>0</v>
      </c>
      <c r="K29" s="21" t="n">
        <f aca="false">IF(AND(K$7&gt;=$E29,K$7&lt;=$F29),1,0)</f>
        <v>0</v>
      </c>
      <c r="L29" s="21" t="n">
        <f aca="false">IF(AND(L$7&gt;=$E29,L$7&lt;=$F29),1,0)</f>
        <v>1</v>
      </c>
      <c r="M29" s="21" t="n">
        <f aca="false">IF(AND(M$7&gt;=$E29,M$7&lt;=$F29),1,0)</f>
        <v>1</v>
      </c>
      <c r="N29" s="21" t="n">
        <f aca="false">IF(AND(N$7&gt;=$E29,N$7&lt;=$F29),1,0)</f>
        <v>0</v>
      </c>
      <c r="O29" s="21" t="n">
        <f aca="false">IF(AND(O$7&gt;=$E29,O$7&lt;=$F29),1,0)</f>
        <v>0</v>
      </c>
      <c r="P29" s="21" t="n">
        <f aca="false">IF(AND(P$7&gt;=$E29,P$7&lt;=$F29),1,0)</f>
        <v>0</v>
      </c>
      <c r="Q29" s="21" t="n">
        <f aca="false">IF(AND(Q$7&gt;=$E29,Q$7&lt;=$F29),1,0)</f>
        <v>0</v>
      </c>
    </row>
    <row r="30" customFormat="false" ht="15" hidden="false" customHeight="false" outlineLevel="0" collapsed="false">
      <c r="A30" s="16" t="n">
        <v>22</v>
      </c>
      <c r="B30" s="29" t="s">
        <v>57</v>
      </c>
      <c r="C30" s="18" t="s">
        <v>59</v>
      </c>
      <c r="D30" s="18" t="s">
        <v>32</v>
      </c>
      <c r="E30" s="19" t="n">
        <v>5</v>
      </c>
      <c r="F30" s="19" t="n">
        <v>5</v>
      </c>
      <c r="G30" s="20" t="n">
        <f aca="false">$C$2+(E30-1)*7</f>
        <v>46328</v>
      </c>
      <c r="H30" s="20" t="n">
        <f aca="false">$C$2+(F30-1)*7+6</f>
        <v>46334</v>
      </c>
      <c r="I30" s="16" t="s">
        <v>33</v>
      </c>
      <c r="J30" s="21" t="n">
        <f aca="false">IF(AND(J$7&gt;=$E30,J$7&lt;=$F30),1,0)</f>
        <v>0</v>
      </c>
      <c r="K30" s="21" t="n">
        <f aca="false">IF(AND(K$7&gt;=$E30,K$7&lt;=$F30),1,0)</f>
        <v>0</v>
      </c>
      <c r="L30" s="21" t="n">
        <f aca="false">IF(AND(L$7&gt;=$E30,L$7&lt;=$F30),1,0)</f>
        <v>0</v>
      </c>
      <c r="M30" s="21" t="n">
        <f aca="false">IF(AND(M$7&gt;=$E30,M$7&lt;=$F30),1,0)</f>
        <v>0</v>
      </c>
      <c r="N30" s="21" t="n">
        <f aca="false">IF(AND(N$7&gt;=$E30,N$7&lt;=$F30),1,0)</f>
        <v>1</v>
      </c>
      <c r="O30" s="21" t="n">
        <f aca="false">IF(AND(O$7&gt;=$E30,O$7&lt;=$F30),1,0)</f>
        <v>0</v>
      </c>
      <c r="P30" s="21" t="n">
        <f aca="false">IF(AND(P$7&gt;=$E30,P$7&lt;=$F30),1,0)</f>
        <v>0</v>
      </c>
      <c r="Q30" s="21" t="n">
        <f aca="false">IF(AND(Q$7&gt;=$E30,Q$7&lt;=$F30),1,0)</f>
        <v>0</v>
      </c>
    </row>
    <row r="31" customFormat="false" ht="15" hidden="false" customHeight="false" outlineLevel="0" collapsed="false">
      <c r="A31" s="16" t="n">
        <v>23</v>
      </c>
      <c r="B31" s="29" t="s">
        <v>57</v>
      </c>
      <c r="C31" s="18" t="s">
        <v>60</v>
      </c>
      <c r="D31" s="18" t="s">
        <v>32</v>
      </c>
      <c r="E31" s="19" t="n">
        <v>5</v>
      </c>
      <c r="F31" s="19" t="n">
        <v>5</v>
      </c>
      <c r="G31" s="20" t="n">
        <f aca="false">$C$2+(E31-1)*7</f>
        <v>46328</v>
      </c>
      <c r="H31" s="20" t="n">
        <f aca="false">$C$2+(F31-1)*7+6</f>
        <v>46334</v>
      </c>
      <c r="I31" s="16" t="s">
        <v>33</v>
      </c>
      <c r="J31" s="21" t="n">
        <f aca="false">IF(AND(J$7&gt;=$E31,J$7&lt;=$F31),1,0)</f>
        <v>0</v>
      </c>
      <c r="K31" s="21" t="n">
        <f aca="false">IF(AND(K$7&gt;=$E31,K$7&lt;=$F31),1,0)</f>
        <v>0</v>
      </c>
      <c r="L31" s="21" t="n">
        <f aca="false">IF(AND(L$7&gt;=$E31,L$7&lt;=$F31),1,0)</f>
        <v>0</v>
      </c>
      <c r="M31" s="21" t="n">
        <f aca="false">IF(AND(M$7&gt;=$E31,M$7&lt;=$F31),1,0)</f>
        <v>0</v>
      </c>
      <c r="N31" s="21" t="n">
        <f aca="false">IF(AND(N$7&gt;=$E31,N$7&lt;=$F31),1,0)</f>
        <v>1</v>
      </c>
      <c r="O31" s="21" t="n">
        <f aca="false">IF(AND(O$7&gt;=$E31,O$7&lt;=$F31),1,0)</f>
        <v>0</v>
      </c>
      <c r="P31" s="21" t="n">
        <f aca="false">IF(AND(P$7&gt;=$E31,P$7&lt;=$F31),1,0)</f>
        <v>0</v>
      </c>
      <c r="Q31" s="21" t="n">
        <f aca="false">IF(AND(Q$7&gt;=$E31,Q$7&lt;=$F31),1,0)</f>
        <v>0</v>
      </c>
    </row>
    <row r="32" customFormat="false" ht="15" hidden="false" customHeight="false" outlineLevel="0" collapsed="false">
      <c r="A32" s="16" t="n">
        <v>24</v>
      </c>
      <c r="B32" s="29" t="s">
        <v>57</v>
      </c>
      <c r="C32" s="18" t="s">
        <v>61</v>
      </c>
      <c r="D32" s="18" t="s">
        <v>32</v>
      </c>
      <c r="E32" s="19" t="n">
        <v>5</v>
      </c>
      <c r="F32" s="19" t="n">
        <v>6</v>
      </c>
      <c r="G32" s="20" t="n">
        <f aca="false">$C$2+(E32-1)*7</f>
        <v>46328</v>
      </c>
      <c r="H32" s="20" t="n">
        <f aca="false">$C$2+(F32-1)*7+6</f>
        <v>46341</v>
      </c>
      <c r="I32" s="16" t="s">
        <v>33</v>
      </c>
      <c r="J32" s="21" t="n">
        <f aca="false">IF(AND(J$7&gt;=$E32,J$7&lt;=$F32),1,0)</f>
        <v>0</v>
      </c>
      <c r="K32" s="21" t="n">
        <f aca="false">IF(AND(K$7&gt;=$E32,K$7&lt;=$F32),1,0)</f>
        <v>0</v>
      </c>
      <c r="L32" s="21" t="n">
        <f aca="false">IF(AND(L$7&gt;=$E32,L$7&lt;=$F32),1,0)</f>
        <v>0</v>
      </c>
      <c r="M32" s="21" t="n">
        <f aca="false">IF(AND(M$7&gt;=$E32,M$7&lt;=$F32),1,0)</f>
        <v>0</v>
      </c>
      <c r="N32" s="21" t="n">
        <f aca="false">IF(AND(N$7&gt;=$E32,N$7&lt;=$F32),1,0)</f>
        <v>1</v>
      </c>
      <c r="O32" s="21" t="n">
        <f aca="false">IF(AND(O$7&gt;=$E32,O$7&lt;=$F32),1,0)</f>
        <v>1</v>
      </c>
      <c r="P32" s="21" t="n">
        <f aca="false">IF(AND(P$7&gt;=$E32,P$7&lt;=$F32),1,0)</f>
        <v>0</v>
      </c>
      <c r="Q32" s="21" t="n">
        <f aca="false">IF(AND(Q$7&gt;=$E32,Q$7&lt;=$F32),1,0)</f>
        <v>0</v>
      </c>
    </row>
    <row r="33" customFormat="false" ht="15" hidden="false" customHeight="false" outlineLevel="0" collapsed="false">
      <c r="A33" s="16" t="n">
        <v>25</v>
      </c>
      <c r="B33" s="29" t="s">
        <v>57</v>
      </c>
      <c r="C33" s="18" t="s">
        <v>62</v>
      </c>
      <c r="D33" s="18" t="s">
        <v>32</v>
      </c>
      <c r="E33" s="19" t="n">
        <v>6</v>
      </c>
      <c r="F33" s="19" t="n">
        <v>6</v>
      </c>
      <c r="G33" s="20" t="n">
        <f aca="false">$C$2+(E33-1)*7</f>
        <v>46335</v>
      </c>
      <c r="H33" s="20" t="n">
        <f aca="false">$C$2+(F33-1)*7+6</f>
        <v>46341</v>
      </c>
      <c r="I33" s="16" t="s">
        <v>33</v>
      </c>
      <c r="J33" s="21" t="n">
        <f aca="false">IF(AND(J$7&gt;=$E33,J$7&lt;=$F33),1,0)</f>
        <v>0</v>
      </c>
      <c r="K33" s="21" t="n">
        <f aca="false">IF(AND(K$7&gt;=$E33,K$7&lt;=$F33),1,0)</f>
        <v>0</v>
      </c>
      <c r="L33" s="21" t="n">
        <f aca="false">IF(AND(L$7&gt;=$E33,L$7&lt;=$F33),1,0)</f>
        <v>0</v>
      </c>
      <c r="M33" s="21" t="n">
        <f aca="false">IF(AND(M$7&gt;=$E33,M$7&lt;=$F33),1,0)</f>
        <v>0</v>
      </c>
      <c r="N33" s="21" t="n">
        <f aca="false">IF(AND(N$7&gt;=$E33,N$7&lt;=$F33),1,0)</f>
        <v>0</v>
      </c>
      <c r="O33" s="21" t="n">
        <f aca="false">IF(AND(O$7&gt;=$E33,O$7&lt;=$F33),1,0)</f>
        <v>1</v>
      </c>
      <c r="P33" s="21" t="n">
        <f aca="false">IF(AND(P$7&gt;=$E33,P$7&lt;=$F33),1,0)</f>
        <v>0</v>
      </c>
      <c r="Q33" s="21" t="n">
        <f aca="false">IF(AND(Q$7&gt;=$E33,Q$7&lt;=$F33),1,0)</f>
        <v>0</v>
      </c>
    </row>
    <row r="34" customFormat="false" ht="23.85" hidden="false" customHeight="false" outlineLevel="0" collapsed="false">
      <c r="A34" s="16" t="n">
        <v>26</v>
      </c>
      <c r="B34" s="29" t="s">
        <v>57</v>
      </c>
      <c r="C34" s="18" t="s">
        <v>63</v>
      </c>
      <c r="D34" s="18" t="s">
        <v>32</v>
      </c>
      <c r="E34" s="19" t="n">
        <v>6</v>
      </c>
      <c r="F34" s="19" t="n">
        <v>6</v>
      </c>
      <c r="G34" s="20" t="n">
        <f aca="false">$C$2+(E34-1)*7</f>
        <v>46335</v>
      </c>
      <c r="H34" s="20" t="n">
        <f aca="false">$C$2+(F34-1)*7+6</f>
        <v>46341</v>
      </c>
      <c r="I34" s="16" t="s">
        <v>33</v>
      </c>
      <c r="J34" s="21" t="n">
        <f aca="false">IF(AND(J$7&gt;=$E34,J$7&lt;=$F34),1,0)</f>
        <v>0</v>
      </c>
      <c r="K34" s="21" t="n">
        <f aca="false">IF(AND(K$7&gt;=$E34,K$7&lt;=$F34),1,0)</f>
        <v>0</v>
      </c>
      <c r="L34" s="21" t="n">
        <f aca="false">IF(AND(L$7&gt;=$E34,L$7&lt;=$F34),1,0)</f>
        <v>0</v>
      </c>
      <c r="M34" s="21" t="n">
        <f aca="false">IF(AND(M$7&gt;=$E34,M$7&lt;=$F34),1,0)</f>
        <v>0</v>
      </c>
      <c r="N34" s="21" t="n">
        <f aca="false">IF(AND(N$7&gt;=$E34,N$7&lt;=$F34),1,0)</f>
        <v>0</v>
      </c>
      <c r="O34" s="21" t="n">
        <f aca="false">IF(AND(O$7&gt;=$E34,O$7&lt;=$F34),1,0)</f>
        <v>1</v>
      </c>
      <c r="P34" s="21" t="n">
        <f aca="false">IF(AND(P$7&gt;=$E34,P$7&lt;=$F34),1,0)</f>
        <v>0</v>
      </c>
      <c r="Q34" s="21" t="n">
        <f aca="false">IF(AND(Q$7&gt;=$E34,Q$7&lt;=$F34),1,0)</f>
        <v>0</v>
      </c>
    </row>
    <row r="35" customFormat="false" ht="23.85" hidden="false" customHeight="false" outlineLevel="0" collapsed="false">
      <c r="A35" s="16" t="n">
        <v>27</v>
      </c>
      <c r="B35" s="29" t="s">
        <v>57</v>
      </c>
      <c r="C35" s="18" t="s">
        <v>64</v>
      </c>
      <c r="D35" s="18" t="s">
        <v>32</v>
      </c>
      <c r="E35" s="19" t="n">
        <v>6</v>
      </c>
      <c r="F35" s="19" t="n">
        <v>6</v>
      </c>
      <c r="G35" s="20" t="n">
        <f aca="false">$C$2+(E35-1)*7</f>
        <v>46335</v>
      </c>
      <c r="H35" s="20" t="n">
        <f aca="false">$C$2+(F35-1)*7+6</f>
        <v>46341</v>
      </c>
      <c r="I35" s="16" t="s">
        <v>33</v>
      </c>
      <c r="J35" s="21" t="n">
        <f aca="false">IF(AND(J$7&gt;=$E35,J$7&lt;=$F35),1,0)</f>
        <v>0</v>
      </c>
      <c r="K35" s="21" t="n">
        <f aca="false">IF(AND(K$7&gt;=$E35,K$7&lt;=$F35),1,0)</f>
        <v>0</v>
      </c>
      <c r="L35" s="21" t="n">
        <f aca="false">IF(AND(L$7&gt;=$E35,L$7&lt;=$F35),1,0)</f>
        <v>0</v>
      </c>
      <c r="M35" s="21" t="n">
        <f aca="false">IF(AND(M$7&gt;=$E35,M$7&lt;=$F35),1,0)</f>
        <v>0</v>
      </c>
      <c r="N35" s="21" t="n">
        <f aca="false">IF(AND(N$7&gt;=$E35,N$7&lt;=$F35),1,0)</f>
        <v>0</v>
      </c>
      <c r="O35" s="21" t="n">
        <f aca="false">IF(AND(O$7&gt;=$E35,O$7&lt;=$F35),1,0)</f>
        <v>1</v>
      </c>
      <c r="P35" s="21" t="n">
        <f aca="false">IF(AND(P$7&gt;=$E35,P$7&lt;=$F35),1,0)</f>
        <v>0</v>
      </c>
      <c r="Q35" s="21" t="n">
        <f aca="false">IF(AND(Q$7&gt;=$E35,Q$7&lt;=$F35),1,0)</f>
        <v>0</v>
      </c>
    </row>
    <row r="36" customFormat="false" ht="15" hidden="false" customHeight="false" outlineLevel="0" collapsed="false">
      <c r="A36" s="16" t="n">
        <v>28</v>
      </c>
      <c r="B36" s="30" t="s">
        <v>65</v>
      </c>
      <c r="C36" s="18" t="s">
        <v>66</v>
      </c>
      <c r="D36" s="18" t="s">
        <v>32</v>
      </c>
      <c r="E36" s="19" t="n">
        <v>7</v>
      </c>
      <c r="F36" s="19" t="n">
        <v>7</v>
      </c>
      <c r="G36" s="20" t="n">
        <f aca="false">$C$2+(E36-1)*7</f>
        <v>46342</v>
      </c>
      <c r="H36" s="20" t="n">
        <f aca="false">$C$2+(F36-1)*7+6</f>
        <v>46348</v>
      </c>
      <c r="I36" s="16" t="s">
        <v>33</v>
      </c>
      <c r="J36" s="21" t="n">
        <f aca="false">IF(AND(J$7&gt;=$E36,J$7&lt;=$F36),1,0)</f>
        <v>0</v>
      </c>
      <c r="K36" s="21" t="n">
        <f aca="false">IF(AND(K$7&gt;=$E36,K$7&lt;=$F36),1,0)</f>
        <v>0</v>
      </c>
      <c r="L36" s="21" t="n">
        <f aca="false">IF(AND(L$7&gt;=$E36,L$7&lt;=$F36),1,0)</f>
        <v>0</v>
      </c>
      <c r="M36" s="21" t="n">
        <f aca="false">IF(AND(M$7&gt;=$E36,M$7&lt;=$F36),1,0)</f>
        <v>0</v>
      </c>
      <c r="N36" s="21" t="n">
        <f aca="false">IF(AND(N$7&gt;=$E36,N$7&lt;=$F36),1,0)</f>
        <v>0</v>
      </c>
      <c r="O36" s="21" t="n">
        <f aca="false">IF(AND(O$7&gt;=$E36,O$7&lt;=$F36),1,0)</f>
        <v>0</v>
      </c>
      <c r="P36" s="21" t="n">
        <f aca="false">IF(AND(P$7&gt;=$E36,P$7&lt;=$F36),1,0)</f>
        <v>1</v>
      </c>
      <c r="Q36" s="21" t="n">
        <f aca="false">IF(AND(Q$7&gt;=$E36,Q$7&lt;=$F36),1,0)</f>
        <v>0</v>
      </c>
    </row>
    <row r="37" customFormat="false" ht="15" hidden="false" customHeight="false" outlineLevel="0" collapsed="false">
      <c r="A37" s="16" t="n">
        <v>29</v>
      </c>
      <c r="B37" s="30" t="s">
        <v>65</v>
      </c>
      <c r="C37" s="18" t="s">
        <v>67</v>
      </c>
      <c r="D37" s="18" t="s">
        <v>32</v>
      </c>
      <c r="E37" s="19" t="n">
        <v>7</v>
      </c>
      <c r="F37" s="19" t="n">
        <v>7</v>
      </c>
      <c r="G37" s="20" t="n">
        <f aca="false">$C$2+(E37-1)*7</f>
        <v>46342</v>
      </c>
      <c r="H37" s="20" t="n">
        <f aca="false">$C$2+(F37-1)*7+6</f>
        <v>46348</v>
      </c>
      <c r="I37" s="16" t="s">
        <v>33</v>
      </c>
      <c r="J37" s="21" t="n">
        <f aca="false">IF(AND(J$7&gt;=$E37,J$7&lt;=$F37),1,0)</f>
        <v>0</v>
      </c>
      <c r="K37" s="21" t="n">
        <f aca="false">IF(AND(K$7&gt;=$E37,K$7&lt;=$F37),1,0)</f>
        <v>0</v>
      </c>
      <c r="L37" s="21" t="n">
        <f aca="false">IF(AND(L$7&gt;=$E37,L$7&lt;=$F37),1,0)</f>
        <v>0</v>
      </c>
      <c r="M37" s="21" t="n">
        <f aca="false">IF(AND(M$7&gt;=$E37,M$7&lt;=$F37),1,0)</f>
        <v>0</v>
      </c>
      <c r="N37" s="21" t="n">
        <f aca="false">IF(AND(N$7&gt;=$E37,N$7&lt;=$F37),1,0)</f>
        <v>0</v>
      </c>
      <c r="O37" s="21" t="n">
        <f aca="false">IF(AND(O$7&gt;=$E37,O$7&lt;=$F37),1,0)</f>
        <v>0</v>
      </c>
      <c r="P37" s="21" t="n">
        <f aca="false">IF(AND(P$7&gt;=$E37,P$7&lt;=$F37),1,0)</f>
        <v>1</v>
      </c>
      <c r="Q37" s="21" t="n">
        <f aca="false">IF(AND(Q$7&gt;=$E37,Q$7&lt;=$F37),1,0)</f>
        <v>0</v>
      </c>
    </row>
    <row r="38" customFormat="false" ht="15" hidden="false" customHeight="false" outlineLevel="0" collapsed="false">
      <c r="A38" s="16" t="n">
        <v>30</v>
      </c>
      <c r="B38" s="30" t="s">
        <v>65</v>
      </c>
      <c r="C38" s="18" t="s">
        <v>68</v>
      </c>
      <c r="D38" s="18" t="s">
        <v>35</v>
      </c>
      <c r="E38" s="19" t="n">
        <v>8</v>
      </c>
      <c r="F38" s="19" t="n">
        <v>8</v>
      </c>
      <c r="G38" s="20" t="n">
        <f aca="false">$C$2+(E38-1)*7</f>
        <v>46349</v>
      </c>
      <c r="H38" s="20" t="n">
        <f aca="false">$C$2+(F38-1)*7+6</f>
        <v>46355</v>
      </c>
      <c r="I38" s="16" t="s">
        <v>33</v>
      </c>
      <c r="J38" s="21" t="n">
        <f aca="false">IF(AND(J$7&gt;=$E38,J$7&lt;=$F38),1,0)</f>
        <v>0</v>
      </c>
      <c r="K38" s="21" t="n">
        <f aca="false">IF(AND(K$7&gt;=$E38,K$7&lt;=$F38),1,0)</f>
        <v>0</v>
      </c>
      <c r="L38" s="21" t="n">
        <f aca="false">IF(AND(L$7&gt;=$E38,L$7&lt;=$F38),1,0)</f>
        <v>0</v>
      </c>
      <c r="M38" s="21" t="n">
        <f aca="false">IF(AND(M$7&gt;=$E38,M$7&lt;=$F38),1,0)</f>
        <v>0</v>
      </c>
      <c r="N38" s="21" t="n">
        <f aca="false">IF(AND(N$7&gt;=$E38,N$7&lt;=$F38),1,0)</f>
        <v>0</v>
      </c>
      <c r="O38" s="21" t="n">
        <f aca="false">IF(AND(O$7&gt;=$E38,O$7&lt;=$F38),1,0)</f>
        <v>0</v>
      </c>
      <c r="P38" s="21" t="n">
        <f aca="false">IF(AND(P$7&gt;=$E38,P$7&lt;=$F38),1,0)</f>
        <v>0</v>
      </c>
      <c r="Q38" s="21" t="n">
        <f aca="false">IF(AND(Q$7&gt;=$E38,Q$7&lt;=$F38),1,0)</f>
        <v>1</v>
      </c>
    </row>
    <row r="39" customFormat="false" ht="15" hidden="false" customHeight="false" outlineLevel="0" collapsed="false">
      <c r="A39" s="16" t="n">
        <v>31</v>
      </c>
      <c r="B39" s="30" t="s">
        <v>65</v>
      </c>
      <c r="C39" s="18" t="s">
        <v>69</v>
      </c>
      <c r="D39" s="18" t="s">
        <v>32</v>
      </c>
      <c r="E39" s="19" t="n">
        <v>8</v>
      </c>
      <c r="F39" s="19" t="n">
        <v>8</v>
      </c>
      <c r="G39" s="20" t="n">
        <f aca="false">$C$2+(E39-1)*7</f>
        <v>46349</v>
      </c>
      <c r="H39" s="20" t="n">
        <f aca="false">$C$2+(F39-1)*7+6</f>
        <v>46355</v>
      </c>
      <c r="I39" s="16" t="s">
        <v>33</v>
      </c>
      <c r="J39" s="21" t="n">
        <f aca="false">IF(AND(J$7&gt;=$E39,J$7&lt;=$F39),1,0)</f>
        <v>0</v>
      </c>
      <c r="K39" s="21" t="n">
        <f aca="false">IF(AND(K$7&gt;=$E39,K$7&lt;=$F39),1,0)</f>
        <v>0</v>
      </c>
      <c r="L39" s="21" t="n">
        <f aca="false">IF(AND(L$7&gt;=$E39,L$7&lt;=$F39),1,0)</f>
        <v>0</v>
      </c>
      <c r="M39" s="21" t="n">
        <f aca="false">IF(AND(M$7&gt;=$E39,M$7&lt;=$F39),1,0)</f>
        <v>0</v>
      </c>
      <c r="N39" s="21" t="n">
        <f aca="false">IF(AND(N$7&gt;=$E39,N$7&lt;=$F39),1,0)</f>
        <v>0</v>
      </c>
      <c r="O39" s="21" t="n">
        <f aca="false">IF(AND(O$7&gt;=$E39,O$7&lt;=$F39),1,0)</f>
        <v>0</v>
      </c>
      <c r="P39" s="21" t="n">
        <f aca="false">IF(AND(P$7&gt;=$E39,P$7&lt;=$F39),1,0)</f>
        <v>0</v>
      </c>
      <c r="Q39" s="21" t="n">
        <f aca="false">IF(AND(Q$7&gt;=$E39,Q$7&lt;=$F39),1,0)</f>
        <v>1</v>
      </c>
    </row>
    <row r="40" customFormat="false" ht="15" hidden="false" customHeight="false" outlineLevel="0" collapsed="false">
      <c r="A40" s="16" t="n">
        <v>32</v>
      </c>
      <c r="B40" s="30" t="s">
        <v>65</v>
      </c>
      <c r="C40" s="18" t="s">
        <v>70</v>
      </c>
      <c r="D40" s="18" t="s">
        <v>32</v>
      </c>
      <c r="E40" s="19" t="n">
        <v>8</v>
      </c>
      <c r="F40" s="19" t="n">
        <v>8</v>
      </c>
      <c r="G40" s="20" t="n">
        <f aca="false">$C$2+(E40-1)*7</f>
        <v>46349</v>
      </c>
      <c r="H40" s="20" t="n">
        <f aca="false">$C$2+(F40-1)*7+6</f>
        <v>46355</v>
      </c>
      <c r="I40" s="16" t="s">
        <v>33</v>
      </c>
      <c r="J40" s="21" t="n">
        <f aca="false">IF(AND(J$7&gt;=$E40,J$7&lt;=$F40),1,0)</f>
        <v>0</v>
      </c>
      <c r="K40" s="21" t="n">
        <f aca="false">IF(AND(K$7&gt;=$E40,K$7&lt;=$F40),1,0)</f>
        <v>0</v>
      </c>
      <c r="L40" s="21" t="n">
        <f aca="false">IF(AND(L$7&gt;=$E40,L$7&lt;=$F40),1,0)</f>
        <v>0</v>
      </c>
      <c r="M40" s="21" t="n">
        <f aca="false">IF(AND(M$7&gt;=$E40,M$7&lt;=$F40),1,0)</f>
        <v>0</v>
      </c>
      <c r="N40" s="21" t="n">
        <f aca="false">IF(AND(N$7&gt;=$E40,N$7&lt;=$F40),1,0)</f>
        <v>0</v>
      </c>
      <c r="O40" s="21" t="n">
        <f aca="false">IF(AND(O$7&gt;=$E40,O$7&lt;=$F40),1,0)</f>
        <v>0</v>
      </c>
      <c r="P40" s="21" t="n">
        <f aca="false">IF(AND(P$7&gt;=$E40,P$7&lt;=$F40),1,0)</f>
        <v>0</v>
      </c>
      <c r="Q40" s="21" t="n">
        <f aca="false">IF(AND(Q$7&gt;=$E40,Q$7&lt;=$F40),1,0)</f>
        <v>1</v>
      </c>
    </row>
    <row r="41" customFormat="false" ht="15" hidden="false" customHeight="false" outlineLevel="0" collapsed="false">
      <c r="A41" s="22" t="n">
        <v>33</v>
      </c>
      <c r="B41" s="31" t="s">
        <v>65</v>
      </c>
      <c r="C41" s="24" t="s">
        <v>71</v>
      </c>
      <c r="D41" s="24" t="s">
        <v>32</v>
      </c>
      <c r="E41" s="19" t="n">
        <v>8</v>
      </c>
      <c r="F41" s="19" t="n">
        <v>8</v>
      </c>
      <c r="G41" s="25" t="n">
        <f aca="false">$C$2+(E41-1)*7</f>
        <v>46349</v>
      </c>
      <c r="H41" s="25" t="n">
        <f aca="false">$C$2+(F41-1)*7+6</f>
        <v>46355</v>
      </c>
      <c r="I41" s="22" t="s">
        <v>33</v>
      </c>
      <c r="J41" s="21" t="n">
        <f aca="false">IF(AND(J$7&gt;=$E41,J$7&lt;=$F41),1,0)</f>
        <v>0</v>
      </c>
      <c r="K41" s="21" t="n">
        <f aca="false">IF(AND(K$7&gt;=$E41,K$7&lt;=$F41),1,0)</f>
        <v>0</v>
      </c>
      <c r="L41" s="21" t="n">
        <f aca="false">IF(AND(L$7&gt;=$E41,L$7&lt;=$F41),1,0)</f>
        <v>0</v>
      </c>
      <c r="M41" s="21" t="n">
        <f aca="false">IF(AND(M$7&gt;=$E41,M$7&lt;=$F41),1,0)</f>
        <v>0</v>
      </c>
      <c r="N41" s="21" t="n">
        <f aca="false">IF(AND(N$7&gt;=$E41,N$7&lt;=$F41),1,0)</f>
        <v>0</v>
      </c>
      <c r="O41" s="21" t="n">
        <f aca="false">IF(AND(O$7&gt;=$E41,O$7&lt;=$F41),1,0)</f>
        <v>0</v>
      </c>
      <c r="P41" s="21" t="n">
        <f aca="false">IF(AND(P$7&gt;=$E41,P$7&lt;=$F41),1,0)</f>
        <v>0</v>
      </c>
      <c r="Q41" s="21" t="n">
        <f aca="false">IF(AND(Q$7&gt;=$E41,Q$7&lt;=$F41),1,0)</f>
        <v>1</v>
      </c>
    </row>
    <row r="43" customFormat="false" ht="15" hidden="false" customHeight="false" outlineLevel="0" collapsed="false">
      <c r="A43" s="32" t="s">
        <v>72</v>
      </c>
    </row>
  </sheetData>
  <conditionalFormatting sqref="J9:Q41">
    <cfRule type="expression" priority="2" aboveAverage="0" equalAverage="0" bottom="0" percent="0" rank="0" text="" dxfId="0">
      <formula>AND(J9=1,LEFT($C9,9)="MILESTONE")</formula>
    </cfRule>
    <cfRule type="expression" priority="3" aboveAverage="0" equalAverage="0" bottom="0" percent="0" rank="0" text="" dxfId="1">
      <formula>AND(J9=1,$I9="Done")</formula>
    </cfRule>
    <cfRule type="expression" priority="4" aboveAverage="0" equalAverage="0" bottom="0" percent="0" rank="0" text="" dxfId="2">
      <formula>AND(J9=1,$I9="Delayed")</formula>
    </cfRule>
    <cfRule type="expression" priority="5" aboveAverage="0" equalAverage="0" bottom="0" percent="0" rank="0" text="" dxfId="3">
      <formula>AND(J9=1,$I9="In progress")</formula>
    </cfRule>
    <cfRule type="expression" priority="6" aboveAverage="0" equalAverage="0" bottom="0" percent="0" rank="0" text="" dxfId="4">
      <formula>J9=1</formula>
    </cfRule>
  </conditionalFormatting>
  <conditionalFormatting sqref="J7:Q41">
    <cfRule type="expression" priority="7" aboveAverage="0" equalAverage="0" bottom="0" percent="0" rank="0" text="" dxfId="5">
      <formula>J$7=$C$3</formula>
    </cfRule>
  </conditionalFormatting>
  <conditionalFormatting sqref="I9:I41">
    <cfRule type="expression" priority="8" aboveAverage="0" equalAverage="0" bottom="0" percent="0" rank="0" text="" dxfId="1">
      <formula>$I9="Done"</formula>
    </cfRule>
    <cfRule type="expression" priority="9" aboveAverage="0" equalAverage="0" bottom="0" percent="0" rank="0" text="" dxfId="3">
      <formula>$I9="In progress"</formula>
    </cfRule>
    <cfRule type="expression" priority="10" aboveAverage="0" equalAverage="0" bottom="0" percent="0" rank="0" text="" dxfId="2">
      <formula>$I9="Delayed"</formula>
    </cfRule>
  </conditionalFormatting>
  <dataValidations count="1">
    <dataValidation allowBlank="true" errorStyle="stop" operator="between" showDropDown="false" showErrorMessage="false" showInputMessage="false" sqref="I9:I41" type="list">
      <formula1>"Not started,In progress,Done,Delayed"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2026-10-08T12:20:07Z</dcterms:created>
  <dc:creator>openpyxl</dc:creator>
  <dc:description/>
  <dc:language>en-US</dc:language>
  <cp:lastModifiedBy/>
  <dcterms:modified xsi:type="dcterms:W3CDTF">2026-10-08T12:20:07Z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T8M1IWU53zq-YZQ97H-oq7k-O_OXGIEoC5l_c88gy9w</vt:lpwstr>
  </property>
</Properties>
</file>